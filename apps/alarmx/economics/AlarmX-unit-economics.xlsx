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del" sheetId="3" state="visible" r:id="rId5"/>
    <sheet name="Scale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<sst xmlns="http://schemas.openxmlformats.org/spreadsheetml/2006/main" count="175" uniqueCount="165">
  <si>
    <t xml:space="preserve">AlarmX — Unit Economics Model</t>
  </si>
  <si>
    <t xml:space="preserve">What this answers</t>
  </si>
  <si>
    <t xml:space="preserve">How much cash AlarmX can pay a single user per month without losing money.</t>
  </si>
  <si>
    <t xml:space="preserve">Everything else in the product spec depends on that one number.</t>
  </si>
  <si>
    <t xml:space="preserve">How to use it</t>
  </si>
  <si>
    <t xml:space="preserve">1. Open the Assumptions tab. Edit ONLY the blue cells.</t>
  </si>
  <si>
    <t xml:space="preserve">2. Three scenario columns: Conservative / Base / Optimistic. Base is the planning case.</t>
  </si>
  <si>
    <t xml:space="preserve">3. The Model tab computes the sustainable earning cap for each scenario. Nothing there is typed by hand.</t>
  </si>
  <si>
    <t xml:space="preserve">4. The Scale tab shows monthly P&amp;L at 10k / 100k / 1M MAU. Set your chosen cap in the yellow cell.</t>
  </si>
  <si>
    <t xml:space="preserve">5. The Sensitivity tab shows contribution per user across a grid of caps and revenue levels.</t>
  </si>
  <si>
    <t xml:space="preserve">Colour key</t>
  </si>
  <si>
    <t xml:space="preserve">Blue text = hardcoded input you can edit</t>
  </si>
  <si>
    <t xml:space="preserve">Black text = formula, do not overwrite</t>
  </si>
  <si>
    <t xml:space="preserve">Green text = link to another sheet</t>
  </si>
  <si>
    <t xml:space="preserve">Yellow fill = key assumption or a cell you must fill in</t>
  </si>
  <si>
    <t xml:space="preserve">Where the numbers came from</t>
  </si>
  <si>
    <t xml:space="preserve">Rewarded video eCPM: India Android rewarded video benchmarked at roughly $1.50 eCPM;</t>
  </si>
  <si>
    <t xml:space="preserve">  India across ad types spans $0.50–$2.00. Tier-2/3 traffic generally $3–$10, but India sits</t>
  </si>
  <si>
    <t xml:space="preserve">  at the low end of that band. Source: Coinis rewarded-video glossary; Business of Apps.</t>
  </si>
  <si>
    <t xml:space="preserve">UPI payout fee: RazorpayX payouts ₹2–₹5 per payout, UPI at the low end of that range.</t>
  </si>
  <si>
    <t xml:space="preserve">  Source: RazorpayX pricing. Verify the live price card before committing.</t>
  </si>
  <si>
    <t xml:space="preserve">Survey resale values: NOT sourced. These are placeholders and the least reliable inputs in</t>
  </si>
  <si>
    <t xml:space="preserve">  the model. Validate them with an actual data buyer before trusting any output.</t>
  </si>
  <si>
    <t xml:space="preserve">All other inputs are assumptions set by Bijoy or by Claude and flagged as such.</t>
  </si>
  <si>
    <t xml:space="preserve">Health warning</t>
  </si>
  <si>
    <t xml:space="preserve">The Conservative column is not a pessimism exercise. It is what happens if ad fill and eCPM</t>
  </si>
  <si>
    <t xml:space="preserve">come in at the low end of the published India range, which is a realistic first-year outcome</t>
  </si>
  <si>
    <t xml:space="preserve">for a new app with no traffic history. Read that column before setting the cap.</t>
  </si>
  <si>
    <t xml:space="preserve">Assumptions — edit the blue cells only</t>
  </si>
  <si>
    <t xml:space="preserve">Input</t>
  </si>
  <si>
    <t xml:space="preserve">Conservative</t>
  </si>
  <si>
    <t xml:space="preserve">Base</t>
  </si>
  <si>
    <t xml:space="preserve">Optimistic</t>
  </si>
  <si>
    <t xml:space="preserve">Unit</t>
  </si>
  <si>
    <t xml:space="preserve">Source / note</t>
  </si>
  <si>
    <t xml:space="preserve">GLOBAL</t>
  </si>
  <si>
    <t xml:space="preserve">USD / INR exchange rate</t>
  </si>
  <si>
    <t xml:space="preserve">₹ per $</t>
  </si>
  <si>
    <t xml:space="preserve">Assumption, 2026</t>
  </si>
  <si>
    <t xml:space="preserve">Active days per user per month</t>
  </si>
  <si>
    <t xml:space="preserve">days</t>
  </si>
  <si>
    <t xml:space="preserve">Days the user opens the app and completes an alarm</t>
  </si>
  <si>
    <t xml:space="preserve">AD REVENUE</t>
  </si>
  <si>
    <t xml:space="preserve">Rewarded video eCPM</t>
  </si>
  <si>
    <t xml:space="preserve">$ per 1,000</t>
  </si>
  <si>
    <t xml:space="preserve">India Android rewarded ~$1.50; India range $0.50–$2.00</t>
  </si>
  <si>
    <t xml:space="preserve">Rewarded videos per active day</t>
  </si>
  <si>
    <t xml:space="preserve">views</t>
  </si>
  <si>
    <t xml:space="preserve">Assumption — how many the user will actually sit through</t>
  </si>
  <si>
    <t xml:space="preserve">Ad fill rate</t>
  </si>
  <si>
    <t xml:space="preserve">%</t>
  </si>
  <si>
    <t xml:space="preserve">Share of ad requests that return a paying ad in India</t>
  </si>
  <si>
    <t xml:space="preserve">Interstitial eCPM</t>
  </si>
  <si>
    <t xml:space="preserve">Materially below rewarded video</t>
  </si>
  <si>
    <t xml:space="preserve">Interstitials per active day</t>
  </si>
  <si>
    <t xml:space="preserve">Assumption</t>
  </si>
  <si>
    <t xml:space="preserve">Banner revenue</t>
  </si>
  <si>
    <t xml:space="preserve">₹/user/month</t>
  </si>
  <si>
    <t xml:space="preserve">Assumption — banners earn very little in India</t>
  </si>
  <si>
    <t xml:space="preserve">SURVEY DATA RESALE</t>
  </si>
  <si>
    <t xml:space="preserve">One-time profile resale value</t>
  </si>
  <si>
    <t xml:space="preserve">₹ per user</t>
  </si>
  <si>
    <t xml:space="preserve">PLACEHOLDER — validate with a real buyer</t>
  </si>
  <si>
    <t xml:space="preserve">Expected user lifetime</t>
  </si>
  <si>
    <t xml:space="preserve">months</t>
  </si>
  <si>
    <t xml:space="preserve">Used to amortise the one-time value</t>
  </si>
  <si>
    <t xml:space="preserve">Daily drip batch value</t>
  </si>
  <si>
    <t xml:space="preserve">₹ per batch</t>
  </si>
  <si>
    <t xml:space="preserve">PLACEHOLDER — 2–3 questions answered per day</t>
  </si>
  <si>
    <t xml:space="preserve">SPONSORED QR — DORMANT TODAY</t>
  </si>
  <si>
    <t xml:space="preserve">Sponsored scans per active day</t>
  </si>
  <si>
    <t xml:space="preserve">scans</t>
  </si>
  <si>
    <t xml:space="preserve">ZERO until a brand partnership signs. Rails built, switch off.</t>
  </si>
  <si>
    <t xml:space="preserve">Brand-funded value per scan</t>
  </si>
  <si>
    <t xml:space="preserve">₹ per scan</t>
  </si>
  <si>
    <t xml:space="preserve">For scenario testing only — no revenue until row 19 &gt; 0</t>
  </si>
  <si>
    <t xml:space="preserve">COSTS</t>
  </si>
  <si>
    <t xml:space="preserve">UPI payout fee</t>
  </si>
  <si>
    <t xml:space="preserve">₹ per payout</t>
  </si>
  <si>
    <t xml:space="preserve">RazorpayX ₹2–5 per payout; UPI at the low end</t>
  </si>
  <si>
    <t xml:space="preserve">Payouts per withdrawing user</t>
  </si>
  <si>
    <t xml:space="preserve">per month</t>
  </si>
  <si>
    <t xml:space="preserve">Monthly batch payout keeps this at 1</t>
  </si>
  <si>
    <t xml:space="preserve">Breakage — earned but never withdrawn</t>
  </si>
  <si>
    <t xml:space="preserve">Users who churn below the ₹30 minimum. Real, and it matters a lot.</t>
  </si>
  <si>
    <t xml:space="preserve">Infrastructure cost</t>
  </si>
  <si>
    <t xml:space="preserve">₹/MAU/month</t>
  </si>
  <si>
    <t xml:space="preserve">Firebase, Firestore, Cloud Functions, Play Integrity</t>
  </si>
  <si>
    <t xml:space="preserve">SMS / OTP cost</t>
  </si>
  <si>
    <t xml:space="preserve">Support cost</t>
  </si>
  <si>
    <t xml:space="preserve">Withdrawal disputes dominate this line</t>
  </si>
  <si>
    <t xml:space="preserve">Fraud leakage</t>
  </si>
  <si>
    <t xml:space="preserve">% of rewards</t>
  </si>
  <si>
    <t xml:space="preserve">Rupees paid to accounts that beat the fraud controls</t>
  </si>
  <si>
    <t xml:space="preserve">TARGETS</t>
  </si>
  <si>
    <t xml:space="preserve">Target contribution margin</t>
  </si>
  <si>
    <t xml:space="preserve">% of revenue</t>
  </si>
  <si>
    <t xml:space="preserve">Profit retained before the reward budget is set</t>
  </si>
  <si>
    <t xml:space="preserve">Minimum withdrawal threshold</t>
  </si>
  <si>
    <t xml:space="preserve">₹</t>
  </si>
  <si>
    <t xml:space="preserve">Product decision — drives the breakage rate above</t>
  </si>
  <si>
    <t xml:space="preserve">Per-user monthly economics and the sustainable earning cap</t>
  </si>
  <si>
    <t xml:space="preserve">Every figure below is per active user per month. Nothing here is typed by hand.</t>
  </si>
  <si>
    <t xml:space="preserve">Line item</t>
  </si>
  <si>
    <t xml:space="preserve">Note</t>
  </si>
  <si>
    <t xml:space="preserve">REVENUE</t>
  </si>
  <si>
    <t xml:space="preserve">Rewarded video</t>
  </si>
  <si>
    <t xml:space="preserve">eCPM → ₹ per view × views/day × active days × fill rate</t>
  </si>
  <si>
    <t xml:space="preserve">Interstitial</t>
  </si>
  <si>
    <t xml:space="preserve">Banner</t>
  </si>
  <si>
    <t xml:space="preserve">Survey — one-time profile, amortised</t>
  </si>
  <si>
    <t xml:space="preserve">One-time value spread over expected lifetime</t>
  </si>
  <si>
    <t xml:space="preserve">Survey — daily drip</t>
  </si>
  <si>
    <t xml:space="preserve">This is why the survey drips instead of dumping once</t>
  </si>
  <si>
    <t xml:space="preserve">Sponsored QR (dormant)</t>
  </si>
  <si>
    <t xml:space="preserve">₹0 until a brand signs</t>
  </si>
  <si>
    <t xml:space="preserve">TOTAL REVENUE</t>
  </si>
  <si>
    <t xml:space="preserve">NON-REWARD COSTS</t>
  </si>
  <si>
    <t xml:space="preserve">UPI payout fees</t>
  </si>
  <si>
    <t xml:space="preserve">Only non-breakage users ever trigger a payout</t>
  </si>
  <si>
    <t xml:space="preserve">Infrastructure</t>
  </si>
  <si>
    <t xml:space="preserve">SMS / OTP</t>
  </si>
  <si>
    <t xml:space="preserve">Support</t>
  </si>
  <si>
    <t xml:space="preserve">TOTAL NON-REWARD COST</t>
  </si>
  <si>
    <t xml:space="preserve">REWARD BUDGET</t>
  </si>
  <si>
    <t xml:space="preserve">Target profit retained</t>
  </si>
  <si>
    <t xml:space="preserve">Contribution margin held back before rewards</t>
  </si>
  <si>
    <t xml:space="preserve">Budget available for rewards</t>
  </si>
  <si>
    <t xml:space="preserve">Revenue less non-reward cost less target profit</t>
  </si>
  <si>
    <t xml:space="preserve">Breakage factor</t>
  </si>
  <si>
    <t xml:space="preserve">Share of accrued rewards actually paid out</t>
  </si>
  <si>
    <t xml:space="preserve">Fraud inflation factor</t>
  </si>
  <si>
    <t xml:space="preserve">Rupees leaked to accounts that beat the controls</t>
  </si>
  <si>
    <t xml:space="preserve">SUSTAINABLE EARNING CAP</t>
  </si>
  <si>
    <t xml:space="preserve">Max a single user may accrue per month</t>
  </si>
  <si>
    <t xml:space="preserve">REALITY CHECK vs ORIGINAL DESIGN</t>
  </si>
  <si>
    <t xml:space="preserve">Original design cap (₹60 math + ₹30 streak + ₹5 signup)</t>
  </si>
  <si>
    <t xml:space="preserve">The concept as originally specified</t>
  </si>
  <si>
    <t xml:space="preserve">Sustainable cap as % of original</t>
  </si>
  <si>
    <t xml:space="preserve">Below 100% means the original design pays out more than it earns</t>
  </si>
  <si>
    <t xml:space="preserve">Monthly loss per user at the original cap</t>
  </si>
  <si>
    <t xml:space="preserve">Contribution per user if you shipped ₹95 unchanged</t>
  </si>
  <si>
    <t xml:space="preserve">Monthly P&amp;L at scale — Base case</t>
  </si>
  <si>
    <t xml:space="preserve">Set the cap you intend to ship in the yellow cell. Compare against the sustainable cap on the Model tab.</t>
  </si>
  <si>
    <t xml:space="preserve">Earning cap to test</t>
  </si>
  <si>
    <t xml:space="preserve">₹ per user per month</t>
  </si>
  <si>
    <t xml:space="preserve">Sustainable cap (Base, from Model)</t>
  </si>
  <si>
    <t xml:space="preserve">Ship at or below this number</t>
  </si>
  <si>
    <t xml:space="preserve">10k MAU</t>
  </si>
  <si>
    <t xml:space="preserve">100k MAU</t>
  </si>
  <si>
    <t xml:space="preserve">1M MAU</t>
  </si>
  <si>
    <t xml:space="preserve">Monthly active users</t>
  </si>
  <si>
    <t xml:space="preserve">Revenue</t>
  </si>
  <si>
    <t xml:space="preserve">Non-reward costs</t>
  </si>
  <si>
    <t xml:space="preserve">Reward payout at the tested cap</t>
  </si>
  <si>
    <t xml:space="preserve">Cap × share actually withdrawn × fraud inflation</t>
  </si>
  <si>
    <t xml:space="preserve">CONTRIBUTION</t>
  </si>
  <si>
    <t xml:space="preserve">Contribution margin</t>
  </si>
  <si>
    <t xml:space="preserve">Contribution at the ORIGINAL ₹95 cap</t>
  </si>
  <si>
    <t xml:space="preserve">What shipping the original design would have cost per month</t>
  </si>
  <si>
    <t xml:space="preserve">Contribution per user per month</t>
  </si>
  <si>
    <t xml:space="preserve">Rows = earning cap you ship. Columns = total revenue per active user. Base-case costs, breakage and fraud applied.</t>
  </si>
  <si>
    <t xml:space="preserve">Negative (in brackets) means you lose money on every active user at that combination.</t>
  </si>
  <si>
    <t xml:space="preserve">Cap \ Revenue per user</t>
  </si>
  <si>
    <t xml:space="preserve">₹95 row is the original design. Everything to the left of break-even on that row is a loss per user per month.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</si>
</sst>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\$#,##0.00"/>
    <numFmt numFmtId="167" formatCode="0.0%;\(0.0%\);\-"/>
    <numFmt numFmtId="168" formatCode="\₹#,##0.00;&quot;(₹&quot;#,##0.00\);\-"/>
    <numFmt numFmtId="169" formatCode="\₹#,##0;&quot;(₹&quot;#,##0\);\-"/>
    <numFmt numFmtId="170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6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</row>
    <row r="4" customFormat="false" ht="15" hidden="false" customHeight="false" outlineLevel="0" collapsed="false">
      <c r="A4" s="8" t="s">
        <v>35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36</v>
      </c>
      <c r="B5" s="11" t="n">
        <v>88</v>
      </c>
      <c r="C5" s="11" t="n">
        <v>88</v>
      </c>
      <c r="D5" s="11" t="n">
        <v>88</v>
      </c>
      <c r="E5" s="12" t="s">
        <v>37</v>
      </c>
      <c r="F5" s="13" t="s">
        <v>38</v>
      </c>
    </row>
    <row r="6" customFormat="false" ht="15" hidden="false" customHeight="false" outlineLevel="0" collapsed="false">
      <c r="A6" s="10" t="s">
        <v>39</v>
      </c>
      <c r="B6" s="11" t="n">
        <v>20</v>
      </c>
      <c r="C6" s="11" t="n">
        <v>26</v>
      </c>
      <c r="D6" s="11" t="n">
        <v>30</v>
      </c>
      <c r="E6" s="12" t="s">
        <v>40</v>
      </c>
      <c r="F6" s="13" t="s">
        <v>41</v>
      </c>
    </row>
    <row r="7" customFormat="false" ht="15" hidden="false" customHeight="false" outlineLevel="0" collapsed="false">
      <c r="A7" s="8" t="s">
        <v>42</v>
      </c>
      <c r="B7" s="9"/>
      <c r="C7" s="9"/>
      <c r="D7" s="9"/>
      <c r="E7" s="9"/>
      <c r="F7" s="9"/>
    </row>
    <row r="8" customFormat="false" ht="15" hidden="false" customHeight="false" outlineLevel="0" collapsed="false">
      <c r="A8" s="10" t="s">
        <v>43</v>
      </c>
      <c r="B8" s="14" t="n">
        <v>1</v>
      </c>
      <c r="C8" s="14" t="n">
        <v>1.5</v>
      </c>
      <c r="D8" s="14" t="n">
        <v>2.5</v>
      </c>
      <c r="E8" s="12" t="s">
        <v>44</v>
      </c>
      <c r="F8" s="13" t="s">
        <v>45</v>
      </c>
    </row>
    <row r="9" customFormat="false" ht="15" hidden="false" customHeight="false" outlineLevel="0" collapsed="false">
      <c r="A9" s="10" t="s">
        <v>46</v>
      </c>
      <c r="B9" s="11" t="n">
        <v>2</v>
      </c>
      <c r="C9" s="11" t="n">
        <v>3</v>
      </c>
      <c r="D9" s="11" t="n">
        <v>4</v>
      </c>
      <c r="E9" s="12" t="s">
        <v>47</v>
      </c>
      <c r="F9" s="13" t="s">
        <v>48</v>
      </c>
    </row>
    <row r="10" customFormat="false" ht="15" hidden="false" customHeight="false" outlineLevel="0" collapsed="false">
      <c r="A10" s="10" t="s">
        <v>49</v>
      </c>
      <c r="B10" s="15" t="n">
        <v>0.7</v>
      </c>
      <c r="C10" s="15" t="n">
        <v>0.8</v>
      </c>
      <c r="D10" s="15" t="n">
        <v>0.9</v>
      </c>
      <c r="E10" s="12" t="s">
        <v>50</v>
      </c>
      <c r="F10" s="13" t="s">
        <v>51</v>
      </c>
    </row>
    <row r="11" customFormat="false" ht="15" hidden="false" customHeight="false" outlineLevel="0" collapsed="false">
      <c r="A11" s="10" t="s">
        <v>52</v>
      </c>
      <c r="B11" s="16" t="n">
        <v>0.25</v>
      </c>
      <c r="C11" s="16" t="n">
        <v>0.4</v>
      </c>
      <c r="D11" s="16" t="n">
        <v>0.7</v>
      </c>
      <c r="E11" s="12" t="s">
        <v>44</v>
      </c>
      <c r="F11" s="13" t="s">
        <v>53</v>
      </c>
    </row>
    <row r="12" customFormat="false" ht="15" hidden="false" customHeight="false" outlineLevel="0" collapsed="false">
      <c r="A12" s="10" t="s">
        <v>54</v>
      </c>
      <c r="B12" s="11" t="n">
        <v>3</v>
      </c>
      <c r="C12" s="11" t="n">
        <v>4</v>
      </c>
      <c r="D12" s="11" t="n">
        <v>6</v>
      </c>
      <c r="E12" s="12" t="s">
        <v>47</v>
      </c>
      <c r="F12" s="13" t="s">
        <v>55</v>
      </c>
    </row>
    <row r="13" customFormat="false" ht="15" hidden="false" customHeight="false" outlineLevel="0" collapsed="false">
      <c r="A13" s="10" t="s">
        <v>56</v>
      </c>
      <c r="B13" s="17" t="n">
        <v>1</v>
      </c>
      <c r="C13" s="17" t="n">
        <v>2</v>
      </c>
      <c r="D13" s="17" t="n">
        <v>4</v>
      </c>
      <c r="E13" s="12" t="s">
        <v>57</v>
      </c>
      <c r="F13" s="13" t="s">
        <v>58</v>
      </c>
    </row>
    <row r="14" customFormat="false" ht="15" hidden="false" customHeight="false" outlineLevel="0" collapsed="false">
      <c r="A14" s="8" t="s">
        <v>59</v>
      </c>
      <c r="B14" s="9"/>
      <c r="C14" s="9"/>
      <c r="D14" s="9"/>
      <c r="E14" s="9"/>
      <c r="F14" s="9"/>
    </row>
    <row r="15" customFormat="false" ht="15" hidden="false" customHeight="false" outlineLevel="0" collapsed="false">
      <c r="A15" s="10" t="s">
        <v>60</v>
      </c>
      <c r="B15" s="18" t="n">
        <v>8</v>
      </c>
      <c r="C15" s="18" t="n">
        <v>15</v>
      </c>
      <c r="D15" s="18" t="n">
        <v>30</v>
      </c>
      <c r="E15" s="12" t="s">
        <v>61</v>
      </c>
      <c r="F15" s="13" t="s">
        <v>62</v>
      </c>
    </row>
    <row r="16" customFormat="false" ht="15" hidden="false" customHeight="false" outlineLevel="0" collapsed="false">
      <c r="A16" s="10" t="s">
        <v>63</v>
      </c>
      <c r="B16" s="11" t="n">
        <v>3</v>
      </c>
      <c r="C16" s="11" t="n">
        <v>4</v>
      </c>
      <c r="D16" s="11" t="n">
        <v>6</v>
      </c>
      <c r="E16" s="12" t="s">
        <v>64</v>
      </c>
      <c r="F16" s="13" t="s">
        <v>65</v>
      </c>
    </row>
    <row r="17" customFormat="false" ht="15" hidden="false" customHeight="false" outlineLevel="0" collapsed="false">
      <c r="A17" s="10" t="s">
        <v>66</v>
      </c>
      <c r="B17" s="18" t="n">
        <v>0.15</v>
      </c>
      <c r="C17" s="18" t="n">
        <v>0.25</v>
      </c>
      <c r="D17" s="18" t="n">
        <v>0.5</v>
      </c>
      <c r="E17" s="12" t="s">
        <v>67</v>
      </c>
      <c r="F17" s="13" t="s">
        <v>68</v>
      </c>
    </row>
    <row r="18" customFormat="false" ht="15" hidden="false" customHeight="false" outlineLevel="0" collapsed="false">
      <c r="A18" s="8" t="s">
        <v>69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10" t="s">
        <v>70</v>
      </c>
      <c r="B19" s="11" t="n">
        <v>0</v>
      </c>
      <c r="C19" s="11" t="n">
        <v>0</v>
      </c>
      <c r="D19" s="11" t="n">
        <v>0</v>
      </c>
      <c r="E19" s="12" t="s">
        <v>71</v>
      </c>
      <c r="F19" s="13" t="s">
        <v>72</v>
      </c>
    </row>
    <row r="20" customFormat="false" ht="15" hidden="false" customHeight="false" outlineLevel="0" collapsed="false">
      <c r="A20" s="10" t="s">
        <v>73</v>
      </c>
      <c r="B20" s="17" t="n">
        <v>0.5</v>
      </c>
      <c r="C20" s="17" t="n">
        <v>1</v>
      </c>
      <c r="D20" s="17" t="n">
        <v>2</v>
      </c>
      <c r="E20" s="12" t="s">
        <v>74</v>
      </c>
      <c r="F20" s="13" t="s">
        <v>75</v>
      </c>
    </row>
    <row r="21" customFormat="false" ht="15" hidden="false" customHeight="false" outlineLevel="0" collapsed="false">
      <c r="A21" s="8" t="s">
        <v>76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10" t="s">
        <v>77</v>
      </c>
      <c r="B22" s="17" t="n">
        <v>5</v>
      </c>
      <c r="C22" s="17" t="n">
        <v>3</v>
      </c>
      <c r="D22" s="17" t="n">
        <v>2</v>
      </c>
      <c r="E22" s="12" t="s">
        <v>78</v>
      </c>
      <c r="F22" s="13" t="s">
        <v>79</v>
      </c>
    </row>
    <row r="23" customFormat="false" ht="15" hidden="false" customHeight="false" outlineLevel="0" collapsed="false">
      <c r="A23" s="10" t="s">
        <v>80</v>
      </c>
      <c r="B23" s="11" t="n">
        <v>1</v>
      </c>
      <c r="C23" s="11" t="n">
        <v>1</v>
      </c>
      <c r="D23" s="11" t="n">
        <v>1</v>
      </c>
      <c r="E23" s="12" t="s">
        <v>81</v>
      </c>
      <c r="F23" s="13" t="s">
        <v>82</v>
      </c>
    </row>
    <row r="24" customFormat="false" ht="15" hidden="false" customHeight="false" outlineLevel="0" collapsed="false">
      <c r="A24" s="10" t="s">
        <v>83</v>
      </c>
      <c r="B24" s="19" t="n">
        <v>0.25</v>
      </c>
      <c r="C24" s="19" t="n">
        <v>0.4</v>
      </c>
      <c r="D24" s="19" t="n">
        <v>0.55</v>
      </c>
      <c r="E24" s="12" t="s">
        <v>50</v>
      </c>
      <c r="F24" s="13" t="s">
        <v>84</v>
      </c>
    </row>
    <row r="25" customFormat="false" ht="15" hidden="false" customHeight="false" outlineLevel="0" collapsed="false">
      <c r="A25" s="10" t="s">
        <v>85</v>
      </c>
      <c r="B25" s="17" t="n">
        <v>0.8</v>
      </c>
      <c r="C25" s="17" t="n">
        <v>0.5</v>
      </c>
      <c r="D25" s="17" t="n">
        <v>0.3</v>
      </c>
      <c r="E25" s="12" t="s">
        <v>86</v>
      </c>
      <c r="F25" s="13" t="s">
        <v>87</v>
      </c>
    </row>
    <row r="26" customFormat="false" ht="15" hidden="false" customHeight="false" outlineLevel="0" collapsed="false">
      <c r="A26" s="10" t="s">
        <v>88</v>
      </c>
      <c r="B26" s="17" t="n">
        <v>0.3</v>
      </c>
      <c r="C26" s="17" t="n">
        <v>0.15</v>
      </c>
      <c r="D26" s="17" t="n">
        <v>0.1</v>
      </c>
      <c r="E26" s="12" t="s">
        <v>57</v>
      </c>
      <c r="F26" s="13" t="s">
        <v>55</v>
      </c>
    </row>
    <row r="27" customFormat="false" ht="15" hidden="false" customHeight="false" outlineLevel="0" collapsed="false">
      <c r="A27" s="10" t="s">
        <v>89</v>
      </c>
      <c r="B27" s="17" t="n">
        <v>0.6</v>
      </c>
      <c r="C27" s="17" t="n">
        <v>0.3</v>
      </c>
      <c r="D27" s="17" t="n">
        <v>0.15</v>
      </c>
      <c r="E27" s="12" t="s">
        <v>57</v>
      </c>
      <c r="F27" s="13" t="s">
        <v>90</v>
      </c>
    </row>
    <row r="28" customFormat="false" ht="15" hidden="false" customHeight="false" outlineLevel="0" collapsed="false">
      <c r="A28" s="10" t="s">
        <v>91</v>
      </c>
      <c r="B28" s="15" t="n">
        <v>0.1</v>
      </c>
      <c r="C28" s="15" t="n">
        <v>0.05</v>
      </c>
      <c r="D28" s="15" t="n">
        <v>0.02</v>
      </c>
      <c r="E28" s="12" t="s">
        <v>92</v>
      </c>
      <c r="F28" s="13" t="s">
        <v>93</v>
      </c>
    </row>
    <row r="29" customFormat="false" ht="15" hidden="false" customHeight="false" outlineLevel="0" collapsed="false">
      <c r="A29" s="8" t="s">
        <v>94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10" t="s">
        <v>95</v>
      </c>
      <c r="B30" s="15" t="n">
        <v>0.3</v>
      </c>
      <c r="C30" s="15" t="n">
        <v>0.3</v>
      </c>
      <c r="D30" s="15" t="n">
        <v>0.3</v>
      </c>
      <c r="E30" s="12" t="s">
        <v>96</v>
      </c>
      <c r="F30" s="13" t="s">
        <v>97</v>
      </c>
    </row>
    <row r="31" customFormat="false" ht="15" hidden="false" customHeight="false" outlineLevel="0" collapsed="false">
      <c r="A31" s="10" t="s">
        <v>98</v>
      </c>
      <c r="B31" s="20" t="n">
        <v>30</v>
      </c>
      <c r="C31" s="20" t="n">
        <v>30</v>
      </c>
      <c r="D31" s="20" t="n">
        <v>30</v>
      </c>
      <c r="E31" s="12" t="s">
        <v>99</v>
      </c>
      <c r="F31" s="1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1" t="s">
        <v>102</v>
      </c>
    </row>
    <row r="4" customFormat="false" ht="15" hidden="false" customHeight="false" outlineLevel="0" collapsed="false">
      <c r="A4" s="7" t="s">
        <v>103</v>
      </c>
      <c r="B4" s="7" t="s">
        <v>30</v>
      </c>
      <c r="C4" s="7" t="s">
        <v>31</v>
      </c>
      <c r="D4" s="7" t="s">
        <v>32</v>
      </c>
      <c r="E4" s="7" t="s">
        <v>104</v>
      </c>
    </row>
    <row r="5" customFormat="false" ht="15" hidden="false" customHeight="false" outlineLevel="0" collapsed="false">
      <c r="A5" s="8" t="s">
        <v>105</v>
      </c>
      <c r="B5" s="9"/>
      <c r="C5" s="9"/>
      <c r="D5" s="9"/>
      <c r="E5" s="9"/>
    </row>
    <row r="6" customFormat="false" ht="15" hidden="false" customHeight="false" outlineLevel="0" collapsed="false">
      <c r="A6" s="10" t="s">
        <v>106</v>
      </c>
      <c r="B6" s="22" t="n">
        <f aca="false">Assumptions!B8*Assumptions!B5/1000*Assumptions!B9*Assumptions!B6*Assumptions!B10</f>
        <v>2.464</v>
      </c>
      <c r="C6" s="22" t="n">
        <f aca="false">Assumptions!C8*Assumptions!C5/1000*Assumptions!C9*Assumptions!C6*Assumptions!C10</f>
        <v>8.2368</v>
      </c>
      <c r="D6" s="22" t="n">
        <f aca="false">Assumptions!D8*Assumptions!D5/1000*Assumptions!D9*Assumptions!D6*Assumptions!D10</f>
        <v>23.76</v>
      </c>
      <c r="E6" s="13" t="s">
        <v>107</v>
      </c>
    </row>
    <row r="7" customFormat="false" ht="15" hidden="false" customHeight="false" outlineLevel="0" collapsed="false">
      <c r="A7" s="10" t="s">
        <v>108</v>
      </c>
      <c r="B7" s="22" t="n">
        <f aca="false">Assumptions!B11*Assumptions!B5/1000*Assumptions!B12*Assumptions!B6*Assumptions!B10</f>
        <v>0.924</v>
      </c>
      <c r="C7" s="22" t="n">
        <f aca="false">Assumptions!C11*Assumptions!C5/1000*Assumptions!C12*Assumptions!C6*Assumptions!C10</f>
        <v>2.92864</v>
      </c>
      <c r="D7" s="22" t="n">
        <f aca="false">Assumptions!D11*Assumptions!D5/1000*Assumptions!D12*Assumptions!D6*Assumptions!D10</f>
        <v>9.9792</v>
      </c>
      <c r="E7" s="13"/>
    </row>
    <row r="8" customFormat="false" ht="15" hidden="false" customHeight="false" outlineLevel="0" collapsed="false">
      <c r="A8" s="10" t="s">
        <v>109</v>
      </c>
      <c r="B8" s="22" t="n">
        <f aca="false">Assumptions!B13</f>
        <v>1</v>
      </c>
      <c r="C8" s="22" t="n">
        <f aca="false">Assumptions!C13</f>
        <v>2</v>
      </c>
      <c r="D8" s="22" t="n">
        <f aca="false">Assumptions!D13</f>
        <v>4</v>
      </c>
      <c r="E8" s="13"/>
    </row>
    <row r="9" customFormat="false" ht="15" hidden="false" customHeight="false" outlineLevel="0" collapsed="false">
      <c r="A9" s="10" t="s">
        <v>110</v>
      </c>
      <c r="B9" s="22" t="n">
        <f aca="false">Assumptions!B15/Assumptions!B16</f>
        <v>2.66666666666667</v>
      </c>
      <c r="C9" s="22" t="n">
        <f aca="false">Assumptions!C15/Assumptions!C16</f>
        <v>3.75</v>
      </c>
      <c r="D9" s="22" t="n">
        <f aca="false">Assumptions!D15/Assumptions!D16</f>
        <v>5</v>
      </c>
      <c r="E9" s="13" t="s">
        <v>111</v>
      </c>
    </row>
    <row r="10" customFormat="false" ht="15" hidden="false" customHeight="false" outlineLevel="0" collapsed="false">
      <c r="A10" s="10" t="s">
        <v>112</v>
      </c>
      <c r="B10" s="22" t="n">
        <f aca="false">Assumptions!B17*Assumptions!B6</f>
        <v>3</v>
      </c>
      <c r="C10" s="22" t="n">
        <f aca="false">Assumptions!C17*Assumptions!C6</f>
        <v>6.5</v>
      </c>
      <c r="D10" s="22" t="n">
        <f aca="false">Assumptions!D17*Assumptions!D6</f>
        <v>15</v>
      </c>
      <c r="E10" s="13" t="s">
        <v>113</v>
      </c>
    </row>
    <row r="11" customFormat="false" ht="15" hidden="false" customHeight="false" outlineLevel="0" collapsed="false">
      <c r="A11" s="10" t="s">
        <v>114</v>
      </c>
      <c r="B11" s="22" t="n">
        <f aca="false">Assumptions!B19*Assumptions!B20*Assumptions!B6</f>
        <v>0</v>
      </c>
      <c r="C11" s="22" t="n">
        <f aca="false">Assumptions!C19*Assumptions!C20*Assumptions!C6</f>
        <v>0</v>
      </c>
      <c r="D11" s="22" t="n">
        <f aca="false">Assumptions!D19*Assumptions!D20*Assumptions!D6</f>
        <v>0</v>
      </c>
      <c r="E11" s="13" t="s">
        <v>115</v>
      </c>
    </row>
    <row r="12" customFormat="false" ht="15" hidden="false" customHeight="false" outlineLevel="0" collapsed="false">
      <c r="A12" s="23" t="s">
        <v>116</v>
      </c>
      <c r="B12" s="24" t="n">
        <f aca="false">SUM(B6:B11)</f>
        <v>10.0546666666667</v>
      </c>
      <c r="C12" s="24" t="n">
        <f aca="false">SUM(C6:C11)</f>
        <v>23.41544</v>
      </c>
      <c r="D12" s="24" t="n">
        <f aca="false">SUM(D6:D11)</f>
        <v>57.7392</v>
      </c>
      <c r="E12" s="25"/>
    </row>
    <row r="14" customFormat="false" ht="15" hidden="false" customHeight="false" outlineLevel="0" collapsed="false">
      <c r="A14" s="8" t="s">
        <v>117</v>
      </c>
      <c r="B14" s="9"/>
      <c r="C14" s="9"/>
      <c r="D14" s="9"/>
      <c r="E14" s="9"/>
    </row>
    <row r="15" customFormat="false" ht="15" hidden="false" customHeight="false" outlineLevel="0" collapsed="false">
      <c r="A15" s="10" t="s">
        <v>118</v>
      </c>
      <c r="B15" s="22" t="n">
        <f aca="false">Assumptions!B22*Assumptions!B23*(1-Assumptions!B24)</f>
        <v>3.75</v>
      </c>
      <c r="C15" s="22" t="n">
        <f aca="false">Assumptions!C22*Assumptions!C23*(1-Assumptions!C24)</f>
        <v>1.8</v>
      </c>
      <c r="D15" s="22" t="n">
        <f aca="false">Assumptions!D22*Assumptions!D23*(1-Assumptions!D24)</f>
        <v>0.9</v>
      </c>
      <c r="E15" s="13" t="s">
        <v>119</v>
      </c>
    </row>
    <row r="16" customFormat="false" ht="15" hidden="false" customHeight="false" outlineLevel="0" collapsed="false">
      <c r="A16" s="10" t="s">
        <v>120</v>
      </c>
      <c r="B16" s="22" t="n">
        <f aca="false">Assumptions!B25</f>
        <v>0.8</v>
      </c>
      <c r="C16" s="22" t="n">
        <f aca="false">Assumptions!C25</f>
        <v>0.5</v>
      </c>
      <c r="D16" s="22" t="n">
        <f aca="false">Assumptions!D25</f>
        <v>0.3</v>
      </c>
      <c r="E16" s="13"/>
    </row>
    <row r="17" customFormat="false" ht="15" hidden="false" customHeight="false" outlineLevel="0" collapsed="false">
      <c r="A17" s="10" t="s">
        <v>121</v>
      </c>
      <c r="B17" s="22" t="n">
        <f aca="false">Assumptions!B26</f>
        <v>0.3</v>
      </c>
      <c r="C17" s="22" t="n">
        <f aca="false">Assumptions!C26</f>
        <v>0.15</v>
      </c>
      <c r="D17" s="22" t="n">
        <f aca="false">Assumptions!D26</f>
        <v>0.1</v>
      </c>
      <c r="E17" s="13"/>
    </row>
    <row r="18" customFormat="false" ht="15" hidden="false" customHeight="false" outlineLevel="0" collapsed="false">
      <c r="A18" s="10" t="s">
        <v>122</v>
      </c>
      <c r="B18" s="22" t="n">
        <f aca="false">Assumptions!B27</f>
        <v>0.6</v>
      </c>
      <c r="C18" s="22" t="n">
        <f aca="false">Assumptions!C27</f>
        <v>0.3</v>
      </c>
      <c r="D18" s="22" t="n">
        <f aca="false">Assumptions!D27</f>
        <v>0.15</v>
      </c>
      <c r="E18" s="13"/>
    </row>
    <row r="19" customFormat="false" ht="15" hidden="false" customHeight="false" outlineLevel="0" collapsed="false">
      <c r="A19" s="23" t="s">
        <v>123</v>
      </c>
      <c r="B19" s="24" t="n">
        <f aca="false">SUM(B15:B18)</f>
        <v>5.45</v>
      </c>
      <c r="C19" s="24" t="n">
        <f aca="false">SUM(C15:C18)</f>
        <v>2.75</v>
      </c>
      <c r="D19" s="24" t="n">
        <f aca="false">SUM(D15:D18)</f>
        <v>1.45</v>
      </c>
      <c r="E19" s="25"/>
    </row>
    <row r="21" customFormat="false" ht="15" hidden="false" customHeight="false" outlineLevel="0" collapsed="false">
      <c r="A21" s="8" t="s">
        <v>124</v>
      </c>
      <c r="B21" s="9"/>
      <c r="C21" s="9"/>
      <c r="D21" s="9"/>
      <c r="E21" s="9"/>
    </row>
    <row r="22" customFormat="false" ht="15" hidden="false" customHeight="false" outlineLevel="0" collapsed="false">
      <c r="A22" s="10" t="s">
        <v>125</v>
      </c>
      <c r="B22" s="22" t="n">
        <f aca="false">B12*Assumptions!B30</f>
        <v>3.0164</v>
      </c>
      <c r="C22" s="22" t="n">
        <f aca="false">C12*Assumptions!C30</f>
        <v>7.024632</v>
      </c>
      <c r="D22" s="22" t="n">
        <f aca="false">D12*Assumptions!D30</f>
        <v>17.32176</v>
      </c>
      <c r="E22" s="13" t="s">
        <v>126</v>
      </c>
    </row>
    <row r="23" customFormat="false" ht="15" hidden="false" customHeight="false" outlineLevel="0" collapsed="false">
      <c r="A23" s="26" t="s">
        <v>127</v>
      </c>
      <c r="B23" s="27" t="n">
        <f aca="false">B12-B19-B22</f>
        <v>1.58826666666667</v>
      </c>
      <c r="C23" s="27" t="n">
        <f aca="false">C12-C19-C22</f>
        <v>13.640808</v>
      </c>
      <c r="D23" s="27" t="n">
        <f aca="false">D12-D19-D22</f>
        <v>38.96744</v>
      </c>
      <c r="E23" s="13" t="s">
        <v>128</v>
      </c>
    </row>
    <row r="24" customFormat="false" ht="15" hidden="false" customHeight="false" outlineLevel="0" collapsed="false">
      <c r="A24" s="10" t="s">
        <v>129</v>
      </c>
      <c r="B24" s="28" t="n">
        <f aca="false">1-Assumptions!B24</f>
        <v>0.75</v>
      </c>
      <c r="C24" s="28" t="n">
        <f aca="false">1-Assumptions!C24</f>
        <v>0.6</v>
      </c>
      <c r="D24" s="28" t="n">
        <f aca="false">1-Assumptions!D24</f>
        <v>0.45</v>
      </c>
      <c r="E24" s="13" t="s">
        <v>130</v>
      </c>
    </row>
    <row r="25" customFormat="false" ht="15" hidden="false" customHeight="false" outlineLevel="0" collapsed="false">
      <c r="A25" s="10" t="s">
        <v>131</v>
      </c>
      <c r="B25" s="29" t="n">
        <f aca="false">1+Assumptions!B28</f>
        <v>1.1</v>
      </c>
      <c r="C25" s="29" t="n">
        <f aca="false">1+Assumptions!C28</f>
        <v>1.05</v>
      </c>
      <c r="D25" s="29" t="n">
        <f aca="false">1+Assumptions!D28</f>
        <v>1.02</v>
      </c>
      <c r="E25" s="13" t="s">
        <v>132</v>
      </c>
    </row>
    <row r="26" customFormat="false" ht="15" hidden="false" customHeight="false" outlineLevel="0" collapsed="false">
      <c r="A26" s="23" t="s">
        <v>133</v>
      </c>
      <c r="B26" s="24" t="n">
        <f aca="false">B23/(B24*B25)</f>
        <v>1.92517171717172</v>
      </c>
      <c r="C26" s="24" t="n">
        <f aca="false">C23/(C24*C25)</f>
        <v>21.6520761904762</v>
      </c>
      <c r="D26" s="24" t="n">
        <f aca="false">D23/(D24*D25)</f>
        <v>84.8963834422658</v>
      </c>
      <c r="E26" s="25" t="s">
        <v>134</v>
      </c>
    </row>
    <row r="28" customFormat="false" ht="15" hidden="false" customHeight="false" outlineLevel="0" collapsed="false">
      <c r="A28" s="8" t="s">
        <v>135</v>
      </c>
      <c r="B28" s="9"/>
      <c r="C28" s="9"/>
      <c r="D28" s="9"/>
      <c r="E28" s="9"/>
    </row>
    <row r="29" customFormat="false" ht="15" hidden="false" customHeight="false" outlineLevel="0" collapsed="false">
      <c r="A29" s="10" t="s">
        <v>136</v>
      </c>
      <c r="B29" s="20" t="n">
        <v>95</v>
      </c>
      <c r="C29" s="20" t="n">
        <v>95</v>
      </c>
      <c r="D29" s="20" t="n">
        <v>95</v>
      </c>
      <c r="E29" s="21" t="s">
        <v>137</v>
      </c>
    </row>
    <row r="30" customFormat="false" ht="15" hidden="false" customHeight="false" outlineLevel="0" collapsed="false">
      <c r="A30" s="26" t="s">
        <v>138</v>
      </c>
      <c r="B30" s="30" t="n">
        <f aca="false">B26/B29</f>
        <v>0.0202649654439128</v>
      </c>
      <c r="C30" s="30" t="n">
        <f aca="false">C26/C29</f>
        <v>0.227916591478697</v>
      </c>
      <c r="D30" s="30" t="n">
        <f aca="false">D26/D29</f>
        <v>0.893646141497535</v>
      </c>
      <c r="E30" s="13" t="s">
        <v>139</v>
      </c>
    </row>
    <row r="31" customFormat="false" ht="15" hidden="false" customHeight="false" outlineLevel="0" collapsed="false">
      <c r="A31" s="26" t="s">
        <v>140</v>
      </c>
      <c r="B31" s="27" t="n">
        <f aca="false">B12-B19-(B29*B24*B25)</f>
        <v>-73.7703333333333</v>
      </c>
      <c r="C31" s="27" t="n">
        <f aca="false">C12-C19-(C29*C24*C25)</f>
        <v>-39.18456</v>
      </c>
      <c r="D31" s="27" t="n">
        <f aca="false">D12-D19-(D29*D24*D25)</f>
        <v>12.6842</v>
      </c>
      <c r="E31" s="1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1" t="s">
        <v>143</v>
      </c>
    </row>
    <row r="4" customFormat="false" ht="15" hidden="false" customHeight="false" outlineLevel="0" collapsed="false">
      <c r="A4" s="2" t="s">
        <v>144</v>
      </c>
      <c r="B4" s="31" t="n">
        <v>20</v>
      </c>
      <c r="C4" s="21" t="s">
        <v>145</v>
      </c>
    </row>
    <row r="5" customFormat="false" ht="15" hidden="false" customHeight="false" outlineLevel="0" collapsed="false">
      <c r="A5" s="3" t="s">
        <v>146</v>
      </c>
      <c r="B5" s="22" t="n">
        <f aca="false">Model!C26</f>
        <v>21.6520761904762</v>
      </c>
      <c r="C5" s="21" t="s">
        <v>147</v>
      </c>
    </row>
    <row r="7" customFormat="false" ht="15" hidden="false" customHeight="false" outlineLevel="0" collapsed="false">
      <c r="A7" s="32" t="s">
        <v>103</v>
      </c>
      <c r="B7" s="32" t="s">
        <v>148</v>
      </c>
      <c r="C7" s="32" t="s">
        <v>149</v>
      </c>
      <c r="D7" s="32" t="s">
        <v>150</v>
      </c>
    </row>
    <row r="8" customFormat="false" ht="15" hidden="false" customHeight="false" outlineLevel="0" collapsed="false">
      <c r="A8" s="10" t="s">
        <v>151</v>
      </c>
      <c r="B8" s="33" t="n">
        <v>10000</v>
      </c>
      <c r="C8" s="33" t="n">
        <v>100000</v>
      </c>
      <c r="D8" s="33" t="n">
        <v>1000000</v>
      </c>
    </row>
    <row r="9" customFormat="false" ht="15" hidden="false" customHeight="false" outlineLevel="0" collapsed="false">
      <c r="A9" s="10" t="s">
        <v>152</v>
      </c>
      <c r="B9" s="34" t="n">
        <f aca="false">B8*Model!$C$12</f>
        <v>234154.4</v>
      </c>
      <c r="C9" s="34" t="n">
        <f aca="false">C8*Model!$C$12</f>
        <v>2341544</v>
      </c>
      <c r="D9" s="34" t="n">
        <f aca="false">D8*Model!$C$12</f>
        <v>23415440</v>
      </c>
      <c r="E9" s="21"/>
    </row>
    <row r="10" customFormat="false" ht="15" hidden="false" customHeight="false" outlineLevel="0" collapsed="false">
      <c r="A10" s="10" t="s">
        <v>153</v>
      </c>
      <c r="B10" s="34" t="n">
        <f aca="false">-B8*Model!$C$19</f>
        <v>-27500</v>
      </c>
      <c r="C10" s="34" t="n">
        <f aca="false">-C8*Model!$C$19</f>
        <v>-275000</v>
      </c>
      <c r="D10" s="34" t="n">
        <f aca="false">-D8*Model!$C$19</f>
        <v>-2750000</v>
      </c>
      <c r="E10" s="21"/>
    </row>
    <row r="11" customFormat="false" ht="15" hidden="false" customHeight="false" outlineLevel="0" collapsed="false">
      <c r="A11" s="10" t="s">
        <v>154</v>
      </c>
      <c r="B11" s="34" t="n">
        <f aca="false">-B8*$B$4*Model!$C$24*Model!$C$25</f>
        <v>-126000</v>
      </c>
      <c r="C11" s="34" t="n">
        <f aca="false">-C8*$B$4*Model!$C$24*Model!$C$25</f>
        <v>-1260000</v>
      </c>
      <c r="D11" s="34" t="n">
        <f aca="false">-D8*$B$4*Model!$C$24*Model!$C$25</f>
        <v>-12600000</v>
      </c>
      <c r="E11" s="21" t="s">
        <v>155</v>
      </c>
    </row>
    <row r="12" customFormat="false" ht="15" hidden="false" customHeight="false" outlineLevel="0" collapsed="false">
      <c r="A12" s="23" t="s">
        <v>156</v>
      </c>
      <c r="B12" s="35" t="n">
        <f aca="false">SUM(B9:B11)</f>
        <v>80654.4</v>
      </c>
      <c r="C12" s="35" t="n">
        <f aca="false">SUM(C9:C11)</f>
        <v>806544</v>
      </c>
      <c r="D12" s="35" t="n">
        <f aca="false">SUM(D9:D11)</f>
        <v>8065440</v>
      </c>
      <c r="E12" s="21"/>
    </row>
    <row r="13" customFormat="false" ht="15" hidden="false" customHeight="false" outlineLevel="0" collapsed="false">
      <c r="A13" s="23" t="s">
        <v>157</v>
      </c>
      <c r="B13" s="36" t="n">
        <f aca="false">IF(B9=0,0,B12/B9)</f>
        <v>0.344449645191378</v>
      </c>
      <c r="C13" s="36" t="n">
        <f aca="false">IF(C9=0,0,C12/C9)</f>
        <v>0.344449645191378</v>
      </c>
      <c r="D13" s="36" t="n">
        <f aca="false">IF(D9=0,0,D12/D9)</f>
        <v>0.344449645191378</v>
      </c>
      <c r="E13" s="21"/>
    </row>
    <row r="15" customFormat="false" ht="15" hidden="false" customHeight="false" outlineLevel="0" collapsed="false">
      <c r="A15" s="26" t="s">
        <v>158</v>
      </c>
      <c r="B15" s="37" t="n">
        <f aca="false">B8*Model!$C$12-B8*Model!$C$19-B8*Model!$C$29*Model!$C$24*Model!$C$25</f>
        <v>-391845.6</v>
      </c>
      <c r="C15" s="37" t="n">
        <f aca="false">C8*Model!$C$12-C8*Model!$C$19-C8*Model!$C$29*Model!$C$24*Model!$C$25</f>
        <v>-3918456</v>
      </c>
      <c r="D15" s="37" t="n">
        <f aca="false">D8*Model!$C$12-D8*Model!$C$19-D8*Model!$C$29*Model!$C$24*Model!$C$25</f>
        <v>-39184560</v>
      </c>
      <c r="E15" s="2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1" t="s">
        <v>161</v>
      </c>
    </row>
    <row r="3" customFormat="false" ht="15" hidden="false" customHeight="false" outlineLevel="0" collapsed="false">
      <c r="A3" s="21" t="s">
        <v>162</v>
      </c>
    </row>
    <row r="5" customFormat="false" ht="15" hidden="false" customHeight="false" outlineLevel="0" collapsed="false">
      <c r="A5" s="7" t="s">
        <v>163</v>
      </c>
      <c r="B5" s="38" t="n">
        <v>10</v>
      </c>
      <c r="C5" s="38" t="n">
        <v>15</v>
      </c>
      <c r="D5" s="38" t="n">
        <v>20</v>
      </c>
      <c r="E5" s="38" t="n">
        <v>25</v>
      </c>
      <c r="F5" s="38" t="n">
        <v>30</v>
      </c>
      <c r="G5" s="38" t="n">
        <v>35</v>
      </c>
      <c r="H5" s="38" t="n">
        <v>40</v>
      </c>
      <c r="I5" s="38" t="n">
        <v>50</v>
      </c>
    </row>
    <row r="6" customFormat="false" ht="15" hidden="false" customHeight="false" outlineLevel="0" collapsed="false">
      <c r="A6" s="20" t="n">
        <v>5</v>
      </c>
      <c r="B6" s="39" t="n">
        <f aca="false">B$5-Model!$C$19-$A6*Model!$C$24*Model!$C$25</f>
        <v>4.1</v>
      </c>
      <c r="C6" s="39" t="n">
        <f aca="false">C$5-Model!$C$19-$A6*Model!$C$24*Model!$C$25</f>
        <v>9.1</v>
      </c>
      <c r="D6" s="39" t="n">
        <f aca="false">D$5-Model!$C$19-$A6*Model!$C$24*Model!$C$25</f>
        <v>14.1</v>
      </c>
      <c r="E6" s="39" t="n">
        <f aca="false">E$5-Model!$C$19-$A6*Model!$C$24*Model!$C$25</f>
        <v>19.1</v>
      </c>
      <c r="F6" s="39" t="n">
        <f aca="false">F$5-Model!$C$19-$A6*Model!$C$24*Model!$C$25</f>
        <v>24.1</v>
      </c>
      <c r="G6" s="39" t="n">
        <f aca="false">G$5-Model!$C$19-$A6*Model!$C$24*Model!$C$25</f>
        <v>29.1</v>
      </c>
      <c r="H6" s="39" t="n">
        <f aca="false">H$5-Model!$C$19-$A6*Model!$C$24*Model!$C$25</f>
        <v>34.1</v>
      </c>
      <c r="I6" s="39" t="n">
        <f aca="false">I$5-Model!$C$19-$A6*Model!$C$24*Model!$C$25</f>
        <v>44.1</v>
      </c>
    </row>
    <row r="7" customFormat="false" ht="15" hidden="false" customHeight="false" outlineLevel="0" collapsed="false">
      <c r="A7" s="20" t="n">
        <v>10</v>
      </c>
      <c r="B7" s="39" t="n">
        <f aca="false">B$5-Model!$C$19-$A7*Model!$C$24*Model!$C$25</f>
        <v>0.949999999999999</v>
      </c>
      <c r="C7" s="39" t="n">
        <f aca="false">C$5-Model!$C$19-$A7*Model!$C$24*Model!$C$25</f>
        <v>5.95</v>
      </c>
      <c r="D7" s="39" t="n">
        <f aca="false">D$5-Model!$C$19-$A7*Model!$C$24*Model!$C$25</f>
        <v>10.95</v>
      </c>
      <c r="E7" s="39" t="n">
        <f aca="false">E$5-Model!$C$19-$A7*Model!$C$24*Model!$C$25</f>
        <v>15.95</v>
      </c>
      <c r="F7" s="39" t="n">
        <f aca="false">F$5-Model!$C$19-$A7*Model!$C$24*Model!$C$25</f>
        <v>20.95</v>
      </c>
      <c r="G7" s="39" t="n">
        <f aca="false">G$5-Model!$C$19-$A7*Model!$C$24*Model!$C$25</f>
        <v>25.95</v>
      </c>
      <c r="H7" s="39" t="n">
        <f aca="false">H$5-Model!$C$19-$A7*Model!$C$24*Model!$C$25</f>
        <v>30.95</v>
      </c>
      <c r="I7" s="39" t="n">
        <f aca="false">I$5-Model!$C$19-$A7*Model!$C$24*Model!$C$25</f>
        <v>40.95</v>
      </c>
    </row>
    <row r="8" customFormat="false" ht="15" hidden="false" customHeight="false" outlineLevel="0" collapsed="false">
      <c r="A8" s="20" t="n">
        <v>15</v>
      </c>
      <c r="B8" s="39" t="n">
        <f aca="false">B$5-Model!$C$19-$A8*Model!$C$24*Model!$C$25</f>
        <v>-2.2</v>
      </c>
      <c r="C8" s="39" t="n">
        <f aca="false">C$5-Model!$C$19-$A8*Model!$C$24*Model!$C$25</f>
        <v>2.8</v>
      </c>
      <c r="D8" s="39" t="n">
        <f aca="false">D$5-Model!$C$19-$A8*Model!$C$24*Model!$C$25</f>
        <v>7.8</v>
      </c>
      <c r="E8" s="39" t="n">
        <f aca="false">E$5-Model!$C$19-$A8*Model!$C$24*Model!$C$25</f>
        <v>12.8</v>
      </c>
      <c r="F8" s="39" t="n">
        <f aca="false">F$5-Model!$C$19-$A8*Model!$C$24*Model!$C$25</f>
        <v>17.8</v>
      </c>
      <c r="G8" s="39" t="n">
        <f aca="false">G$5-Model!$C$19-$A8*Model!$C$24*Model!$C$25</f>
        <v>22.8</v>
      </c>
      <c r="H8" s="39" t="n">
        <f aca="false">H$5-Model!$C$19-$A8*Model!$C$24*Model!$C$25</f>
        <v>27.8</v>
      </c>
      <c r="I8" s="39" t="n">
        <f aca="false">I$5-Model!$C$19-$A8*Model!$C$24*Model!$C$25</f>
        <v>37.8</v>
      </c>
    </row>
    <row r="9" customFormat="false" ht="15" hidden="false" customHeight="false" outlineLevel="0" collapsed="false">
      <c r="A9" s="20" t="n">
        <v>20</v>
      </c>
      <c r="B9" s="39" t="n">
        <f aca="false">B$5-Model!$C$19-$A9*Model!$C$24*Model!$C$25</f>
        <v>-5.35</v>
      </c>
      <c r="C9" s="39" t="n">
        <f aca="false">C$5-Model!$C$19-$A9*Model!$C$24*Model!$C$25</f>
        <v>-0.350000000000001</v>
      </c>
      <c r="D9" s="39" t="n">
        <f aca="false">D$5-Model!$C$19-$A9*Model!$C$24*Model!$C$25</f>
        <v>4.65</v>
      </c>
      <c r="E9" s="39" t="n">
        <f aca="false">E$5-Model!$C$19-$A9*Model!$C$24*Model!$C$25</f>
        <v>9.65</v>
      </c>
      <c r="F9" s="39" t="n">
        <f aca="false">F$5-Model!$C$19-$A9*Model!$C$24*Model!$C$25</f>
        <v>14.65</v>
      </c>
      <c r="G9" s="39" t="n">
        <f aca="false">G$5-Model!$C$19-$A9*Model!$C$24*Model!$C$25</f>
        <v>19.65</v>
      </c>
      <c r="H9" s="39" t="n">
        <f aca="false">H$5-Model!$C$19-$A9*Model!$C$24*Model!$C$25</f>
        <v>24.65</v>
      </c>
      <c r="I9" s="39" t="n">
        <f aca="false">I$5-Model!$C$19-$A9*Model!$C$24*Model!$C$25</f>
        <v>34.65</v>
      </c>
    </row>
    <row r="10" customFormat="false" ht="15" hidden="false" customHeight="false" outlineLevel="0" collapsed="false">
      <c r="A10" s="20" t="n">
        <v>25</v>
      </c>
      <c r="B10" s="39" t="n">
        <f aca="false">B$5-Model!$C$19-$A10*Model!$C$24*Model!$C$25</f>
        <v>-8.5</v>
      </c>
      <c r="C10" s="39" t="n">
        <f aca="false">C$5-Model!$C$19-$A10*Model!$C$24*Model!$C$25</f>
        <v>-3.5</v>
      </c>
      <c r="D10" s="39" t="n">
        <f aca="false">D$5-Model!$C$19-$A10*Model!$C$24*Model!$C$25</f>
        <v>1.5</v>
      </c>
      <c r="E10" s="39" t="n">
        <f aca="false">E$5-Model!$C$19-$A10*Model!$C$24*Model!$C$25</f>
        <v>6.5</v>
      </c>
      <c r="F10" s="39" t="n">
        <f aca="false">F$5-Model!$C$19-$A10*Model!$C$24*Model!$C$25</f>
        <v>11.5</v>
      </c>
      <c r="G10" s="39" t="n">
        <f aca="false">G$5-Model!$C$19-$A10*Model!$C$24*Model!$C$25</f>
        <v>16.5</v>
      </c>
      <c r="H10" s="39" t="n">
        <f aca="false">H$5-Model!$C$19-$A10*Model!$C$24*Model!$C$25</f>
        <v>21.5</v>
      </c>
      <c r="I10" s="39" t="n">
        <f aca="false">I$5-Model!$C$19-$A10*Model!$C$24*Model!$C$25</f>
        <v>31.5</v>
      </c>
    </row>
    <row r="11" customFormat="false" ht="15" hidden="false" customHeight="false" outlineLevel="0" collapsed="false">
      <c r="A11" s="20" t="n">
        <v>30</v>
      </c>
      <c r="B11" s="39" t="n">
        <f aca="false">B$5-Model!$C$19-$A11*Model!$C$24*Model!$C$25</f>
        <v>-11.65</v>
      </c>
      <c r="C11" s="39" t="n">
        <f aca="false">C$5-Model!$C$19-$A11*Model!$C$24*Model!$C$25</f>
        <v>-6.65</v>
      </c>
      <c r="D11" s="39" t="n">
        <f aca="false">D$5-Model!$C$19-$A11*Model!$C$24*Model!$C$25</f>
        <v>-1.65</v>
      </c>
      <c r="E11" s="39" t="n">
        <f aca="false">E$5-Model!$C$19-$A11*Model!$C$24*Model!$C$25</f>
        <v>3.35</v>
      </c>
      <c r="F11" s="39" t="n">
        <f aca="false">F$5-Model!$C$19-$A11*Model!$C$24*Model!$C$25</f>
        <v>8.35</v>
      </c>
      <c r="G11" s="39" t="n">
        <f aca="false">G$5-Model!$C$19-$A11*Model!$C$24*Model!$C$25</f>
        <v>13.35</v>
      </c>
      <c r="H11" s="39" t="n">
        <f aca="false">H$5-Model!$C$19-$A11*Model!$C$24*Model!$C$25</f>
        <v>18.35</v>
      </c>
      <c r="I11" s="39" t="n">
        <f aca="false">I$5-Model!$C$19-$A11*Model!$C$24*Model!$C$25</f>
        <v>28.35</v>
      </c>
    </row>
    <row r="12" customFormat="false" ht="15" hidden="false" customHeight="false" outlineLevel="0" collapsed="false">
      <c r="A12" s="20" t="n">
        <v>40</v>
      </c>
      <c r="B12" s="39" t="n">
        <f aca="false">B$5-Model!$C$19-$A12*Model!$C$24*Model!$C$25</f>
        <v>-17.95</v>
      </c>
      <c r="C12" s="39" t="n">
        <f aca="false">C$5-Model!$C$19-$A12*Model!$C$24*Model!$C$25</f>
        <v>-12.95</v>
      </c>
      <c r="D12" s="39" t="n">
        <f aca="false">D$5-Model!$C$19-$A12*Model!$C$24*Model!$C$25</f>
        <v>-7.95</v>
      </c>
      <c r="E12" s="39" t="n">
        <f aca="false">E$5-Model!$C$19-$A12*Model!$C$24*Model!$C$25</f>
        <v>-2.95</v>
      </c>
      <c r="F12" s="39" t="n">
        <f aca="false">F$5-Model!$C$19-$A12*Model!$C$24*Model!$C$25</f>
        <v>2.05</v>
      </c>
      <c r="G12" s="39" t="n">
        <f aca="false">G$5-Model!$C$19-$A12*Model!$C$24*Model!$C$25</f>
        <v>7.05</v>
      </c>
      <c r="H12" s="39" t="n">
        <f aca="false">H$5-Model!$C$19-$A12*Model!$C$24*Model!$C$25</f>
        <v>12.05</v>
      </c>
      <c r="I12" s="39" t="n">
        <f aca="false">I$5-Model!$C$19-$A12*Model!$C$24*Model!$C$25</f>
        <v>22.05</v>
      </c>
    </row>
    <row r="13" customFormat="false" ht="15" hidden="false" customHeight="false" outlineLevel="0" collapsed="false">
      <c r="A13" s="20" t="n">
        <v>60</v>
      </c>
      <c r="B13" s="39" t="n">
        <f aca="false">B$5-Model!$C$19-$A13*Model!$C$24*Model!$C$25</f>
        <v>-30.55</v>
      </c>
      <c r="C13" s="39" t="n">
        <f aca="false">C$5-Model!$C$19-$A13*Model!$C$24*Model!$C$25</f>
        <v>-25.55</v>
      </c>
      <c r="D13" s="39" t="n">
        <f aca="false">D$5-Model!$C$19-$A13*Model!$C$24*Model!$C$25</f>
        <v>-20.55</v>
      </c>
      <c r="E13" s="39" t="n">
        <f aca="false">E$5-Model!$C$19-$A13*Model!$C$24*Model!$C$25</f>
        <v>-15.55</v>
      </c>
      <c r="F13" s="39" t="n">
        <f aca="false">F$5-Model!$C$19-$A13*Model!$C$24*Model!$C$25</f>
        <v>-10.55</v>
      </c>
      <c r="G13" s="39" t="n">
        <f aca="false">G$5-Model!$C$19-$A13*Model!$C$24*Model!$C$25</f>
        <v>-5.55</v>
      </c>
      <c r="H13" s="39" t="n">
        <f aca="false">H$5-Model!$C$19-$A13*Model!$C$24*Model!$C$25</f>
        <v>-0.550000000000004</v>
      </c>
      <c r="I13" s="39" t="n">
        <f aca="false">I$5-Model!$C$19-$A13*Model!$C$24*Model!$C$25</f>
        <v>9.45</v>
      </c>
    </row>
    <row r="14" customFormat="false" ht="15" hidden="false" customHeight="false" outlineLevel="0" collapsed="false">
      <c r="A14" s="40" t="n">
        <v>95</v>
      </c>
      <c r="B14" s="39" t="n">
        <f aca="false">B$5-Model!$C$19-$A14*Model!$C$24*Model!$C$25</f>
        <v>-52.6</v>
      </c>
      <c r="C14" s="39" t="n">
        <f aca="false">C$5-Model!$C$19-$A14*Model!$C$24*Model!$C$25</f>
        <v>-47.6</v>
      </c>
      <c r="D14" s="39" t="n">
        <f aca="false">D$5-Model!$C$19-$A14*Model!$C$24*Model!$C$25</f>
        <v>-42.6</v>
      </c>
      <c r="E14" s="39" t="n">
        <f aca="false">E$5-Model!$C$19-$A14*Model!$C$24*Model!$C$25</f>
        <v>-37.6</v>
      </c>
      <c r="F14" s="39" t="n">
        <f aca="false">F$5-Model!$C$19-$A14*Model!$C$24*Model!$C$25</f>
        <v>-32.6</v>
      </c>
      <c r="G14" s="39" t="n">
        <f aca="false">G$5-Model!$C$19-$A14*Model!$C$24*Model!$C$25</f>
        <v>-27.6</v>
      </c>
      <c r="H14" s="39" t="n">
        <f aca="false">H$5-Model!$C$19-$A14*Model!$C$24*Model!$C$25</f>
        <v>-22.6</v>
      </c>
      <c r="I14" s="39" t="n">
        <f aca="false">I$5-Model!$C$19-$A14*Model!$C$24*Model!$C$25</f>
        <v>-12.6</v>
      </c>
    </row>
    <row r="16" customFormat="false" ht="15" hidden="false" customHeight="false" outlineLevel="0" collapsed="false">
      <c r="A16" s="21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2026-07-26T09:42:07Z</dcterms:created>
  <dc:creator>openpyxl</dc:creator>
  <dc:description/>
  <dc:language>en-US</dc:language>
  <cp:lastModifiedBy/>
  <dcterms:modified xsi:type="dcterms:W3CDTF">2026-07-26T09:42:07Z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