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Model" sheetId="3" state="visible" r:id="rId5"/>
    <sheet name="Scale" sheetId="4" state="visible" r:id="rId6"/>
    <sheet name="Sensi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<sst xmlns="http://schemas.openxmlformats.org/spreadsheetml/2006/main" count="216" uniqueCount="201">
  <si>
    <t xml:space="preserve">AlarmX — Unit Economics Model (v0.3)</t>
  </si>
  <si>
    <t xml:space="preserve">What this answers</t>
  </si>
  <si>
    <t xml:space="preserve">How much cash AlarmX can pay one user per month without losing money.</t>
  </si>
  <si>
    <t xml:space="preserve">Every other number in the product spec is derived from that one.</t>
  </si>
  <si>
    <t xml:space="preserve">What changed in v0.3</t>
  </si>
  <si>
    <t xml:space="preserve">The first payout drops from Rs30 to Rs10. That is not free:</t>
  </si>
  <si>
    <t xml:space="preserve">  - Fewer users churn without ever withdrawing, so BREAKAGE FALLS.</t>
  </si>
  <si>
    <t xml:space="preserve">  - Lower breakage means more of what is accrued is actually paid out.</t>
  </si>
  <si>
    <t xml:space="preserve">  - Higher real cash cost means the SUSTAINABLE CAP FALLS.</t>
  </si>
  <si>
    <t xml:space="preserve">The Model tab quantifies exactly how much, and compares against v0.2.</t>
  </si>
  <si>
    <t xml:space="preserve">The first payout is booked as ACQUISITION, not as a reward.</t>
  </si>
  <si>
    <t xml:space="preserve">Rs10 plus the payout fee buys the 'it actually paid me' moment, which is a</t>
  </si>
  <si>
    <t xml:space="preserve">marketing outcome. The same rupees spent on an install ad would buy far less.</t>
  </si>
  <si>
    <t xml:space="preserve">Charging it to the reward budget would wrongly depress the cap in every later</t>
  </si>
  <si>
    <t xml:space="preserve">month. It sits in its own block on the Model tab, compared against install cost.</t>
  </si>
  <si>
    <t xml:space="preserve">How to use it</t>
  </si>
  <si>
    <t xml:space="preserve">1. Assumptions tab. Edit ONLY the blue cells.</t>
  </si>
  <si>
    <t xml:space="preserve">2. Three scenarios: Conservative / Base / Optimistic. Base is the planning case.</t>
  </si>
  <si>
    <t xml:space="preserve">3. Model computes the cap per scenario. Nothing there is typed by hand.</t>
  </si>
  <si>
    <t xml:space="preserve">4. Scale shows monthly P&amp;L at 10k / 100k / 1M MAU. Set your cap in the yellow cell.</t>
  </si>
  <si>
    <t xml:space="preserve">5. Sensitivity grids cap against revenue per user.</t>
  </si>
  <si>
    <t xml:space="preserve">Colour key</t>
  </si>
  <si>
    <t xml:space="preserve">Blue text = hardcoded input you can edit</t>
  </si>
  <si>
    <t xml:space="preserve">Black text = formula, do not overwrite</t>
  </si>
  <si>
    <t xml:space="preserve">Green text = link to another sheet</t>
  </si>
  <si>
    <t xml:space="preserve">Yellow fill = load-bearing assumption</t>
  </si>
  <si>
    <t xml:space="preserve">Orange fill = acquisition, deliberately outside the reward budget</t>
  </si>
  <si>
    <t xml:space="preserve">Sources</t>
  </si>
  <si>
    <t xml:space="preserve">Rewarded video eCPM: India Android rewarded benchmarked around $1.50; India across</t>
  </si>
  <si>
    <t xml:space="preserve">  ad types spans $0.50-$2.00. Source: Coinis rewarded-video glossary; Business of Apps.</t>
  </si>
  <si>
    <t xml:space="preserve">UPI payout fee: RazorpayX Rs2-5 per payout, UPI at the low end. Verify the live</t>
  </si>
  <si>
    <t xml:space="preserve">  price card before committing.</t>
  </si>
  <si>
    <t xml:space="preserve">Survey resale values: NOT SOURCED. Placeholders, and the least reliable inputs here.</t>
  </si>
  <si>
    <t xml:space="preserve">  Validate with a real data buyer before counting this revenue.</t>
  </si>
  <si>
    <t xml:space="preserve">Breakage and share-reaching-first-payout: assumptions, not measured. Revisit after</t>
  </si>
  <si>
    <t xml:space="preserve">  60 days of live data - they move the cap more than almost anything else.</t>
  </si>
  <si>
    <t xml:space="preserve">Assumptions — edit the blue cells only</t>
  </si>
  <si>
    <t xml:space="preserve">Input</t>
  </si>
  <si>
    <t xml:space="preserve">Conservative</t>
  </si>
  <si>
    <t xml:space="preserve">Base</t>
  </si>
  <si>
    <t xml:space="preserve">Optimistic</t>
  </si>
  <si>
    <t xml:space="preserve">Unit</t>
  </si>
  <si>
    <t xml:space="preserve">Source / note</t>
  </si>
  <si>
    <t xml:space="preserve">GLOBAL</t>
  </si>
  <si>
    <t xml:space="preserve">USD / INR exchange rate</t>
  </si>
  <si>
    <t xml:space="preserve">₹ per $</t>
  </si>
  <si>
    <t xml:space="preserve">Assumption, 2026</t>
  </si>
  <si>
    <t xml:space="preserve">Active days per user per month</t>
  </si>
  <si>
    <t xml:space="preserve">days</t>
  </si>
  <si>
    <t xml:space="preserve">Days the user opens the app and completes an alarm</t>
  </si>
  <si>
    <t xml:space="preserve">AD REVENUE</t>
  </si>
  <si>
    <t xml:space="preserve">Rewarded video eCPM</t>
  </si>
  <si>
    <t xml:space="preserve">$ per 1,000</t>
  </si>
  <si>
    <t xml:space="preserve">India Android rewarded ~$1.50; India range $0.50–$2.00</t>
  </si>
  <si>
    <t xml:space="preserve">Rewarded videos per active day</t>
  </si>
  <si>
    <t xml:space="preserve">views</t>
  </si>
  <si>
    <t xml:space="preserve">Assumption</t>
  </si>
  <si>
    <t xml:space="preserve">Ad fill rate</t>
  </si>
  <si>
    <t xml:space="preserve">%</t>
  </si>
  <si>
    <t xml:space="preserve">Share of ad requests returning a paying ad in India</t>
  </si>
  <si>
    <t xml:space="preserve">Interstitial eCPM</t>
  </si>
  <si>
    <t xml:space="preserve">Materially below rewarded video</t>
  </si>
  <si>
    <t xml:space="preserve">Interstitials per active day</t>
  </si>
  <si>
    <t xml:space="preserve">Banner revenue</t>
  </si>
  <si>
    <t xml:space="preserve">₹/user/month</t>
  </si>
  <si>
    <t xml:space="preserve">Banners earn very little in India</t>
  </si>
  <si>
    <t xml:space="preserve">SURVEY DATA RESALE</t>
  </si>
  <si>
    <t xml:space="preserve">One-time profile resale value</t>
  </si>
  <si>
    <t xml:space="preserve">₹ per user</t>
  </si>
  <si>
    <t xml:space="preserve">PLACEHOLDER — validate with a real buyer</t>
  </si>
  <si>
    <t xml:space="preserve">Expected user lifetime</t>
  </si>
  <si>
    <t xml:space="preserve">months</t>
  </si>
  <si>
    <t xml:space="preserve">Amortises the one-time value and the acquisition cost</t>
  </si>
  <si>
    <t xml:space="preserve">Daily drip batch value</t>
  </si>
  <si>
    <t xml:space="preserve">₹ per batch</t>
  </si>
  <si>
    <t xml:space="preserve">PLACEHOLDER — 2–3 questions answered per day</t>
  </si>
  <si>
    <t xml:space="preserve">SPONSORED QR — DORMANT</t>
  </si>
  <si>
    <t xml:space="preserve">Sponsored scans per active day</t>
  </si>
  <si>
    <t xml:space="preserve">scans</t>
  </si>
  <si>
    <t xml:space="preserve">ZERO until a brand signs. Rails built, switch off.</t>
  </si>
  <si>
    <t xml:space="preserve">Brand-funded value per scan</t>
  </si>
  <si>
    <t xml:space="preserve">₹ per scan</t>
  </si>
  <si>
    <t xml:space="preserve">Scenario only — no revenue while row 19 is zero</t>
  </si>
  <si>
    <t xml:space="preserve">WITHDRAWAL THRESHOLDS</t>
  </si>
  <si>
    <t xml:space="preserve">First payout threshold</t>
  </si>
  <si>
    <t xml:space="preserve">₹</t>
  </si>
  <si>
    <t xml:space="preserve">v0.3 decision — buys the first-payout trust moment</t>
  </si>
  <si>
    <t xml:space="preserve">Subsequent payout threshold</t>
  </si>
  <si>
    <t xml:space="preserve">Unchanged</t>
  </si>
  <si>
    <t xml:space="preserve">Breakage at a ₹10 first payout</t>
  </si>
  <si>
    <t xml:space="preserve">% of rewards</t>
  </si>
  <si>
    <t xml:space="preserve">Accrued but never withdrawn. LOWER than v0.2 — fewer churn before cashing out.</t>
  </si>
  <si>
    <t xml:space="preserve">Breakage at a ₹30 first payout (v0.2)</t>
  </si>
  <si>
    <t xml:space="preserve">Kept only to quantify what the ₹10 decision costs</t>
  </si>
  <si>
    <t xml:space="preserve">COSTS</t>
  </si>
  <si>
    <t xml:space="preserve">UPI payout fee</t>
  </si>
  <si>
    <t xml:space="preserve">₹ per payout</t>
  </si>
  <si>
    <t xml:space="preserve">RazorpayX ₹2–5; UPI at the low end</t>
  </si>
  <si>
    <t xml:space="preserve">Payouts per withdrawing user</t>
  </si>
  <si>
    <t xml:space="preserve">per month</t>
  </si>
  <si>
    <t xml:space="preserve">Monthly batch payout</t>
  </si>
  <si>
    <t xml:space="preserve">Infrastructure cost</t>
  </si>
  <si>
    <t xml:space="preserve">₹/MAU/month</t>
  </si>
  <si>
    <t xml:space="preserve">Firebase, Firestore, Functions, Play Integrity</t>
  </si>
  <si>
    <t xml:space="preserve">SMS / OTP cost</t>
  </si>
  <si>
    <t xml:space="preserve">Support cost</t>
  </si>
  <si>
    <t xml:space="preserve">Withdrawal disputes dominate</t>
  </si>
  <si>
    <t xml:space="preserve">Fraud leakage</t>
  </si>
  <si>
    <t xml:space="preserve">Rupees reaching accounts that beat the controls</t>
  </si>
  <si>
    <t xml:space="preserve">TARGETS</t>
  </si>
  <si>
    <t xml:space="preserve">Target contribution margin</t>
  </si>
  <si>
    <t xml:space="preserve">% of revenue</t>
  </si>
  <si>
    <t xml:space="preserve">Profit retained before the reward budget is set</t>
  </si>
  <si>
    <t xml:space="preserve">ACQUISITION — booked outside the reward budget</t>
  </si>
  <si>
    <t xml:space="preserve">Share of users reaching the first payout</t>
  </si>
  <si>
    <t xml:space="preserve">Higher at ₹10 than it was at ₹30</t>
  </si>
  <si>
    <t xml:space="preserve">Referral bonus per referred install</t>
  </si>
  <si>
    <t xml:space="preserve">CAC line, never counted against the reward cap</t>
  </si>
  <si>
    <t xml:space="preserve">Paid install cost (CPI) in India</t>
  </si>
  <si>
    <t xml:space="preserve">₹ per install</t>
  </si>
  <si>
    <t xml:space="preserve">Benchmark for judging the first payout as acquisition</t>
  </si>
  <si>
    <t xml:space="preserve">Per-user monthly economics and the sustainable earning cap</t>
  </si>
  <si>
    <t xml:space="preserve">All figures per ACTIVE user per month unless stated. Nothing here is typed by hand.</t>
  </si>
  <si>
    <t xml:space="preserve">Line item</t>
  </si>
  <si>
    <t xml:space="preserve">Note</t>
  </si>
  <si>
    <t xml:space="preserve">REVENUE</t>
  </si>
  <si>
    <t xml:space="preserve">Rewarded video</t>
  </si>
  <si>
    <t xml:space="preserve">eCPM → ₹/view × views/day × active days × fill rate</t>
  </si>
  <si>
    <t xml:space="preserve">Interstitial</t>
  </si>
  <si>
    <t xml:space="preserve">Banner</t>
  </si>
  <si>
    <t xml:space="preserve">Survey — one-time profile, amortised</t>
  </si>
  <si>
    <t xml:space="preserve">Survey — daily drip</t>
  </si>
  <si>
    <t xml:space="preserve">Why the survey drips instead of dumping once</t>
  </si>
  <si>
    <t xml:space="preserve">Sponsored QR (dormant)</t>
  </si>
  <si>
    <t xml:space="preserve">₹0 until a brand signs</t>
  </si>
  <si>
    <t xml:space="preserve">TOTAL REVENUE</t>
  </si>
  <si>
    <t xml:space="preserve">NON-REWARD COSTS</t>
  </si>
  <si>
    <t xml:space="preserve">UPI payout fees</t>
  </si>
  <si>
    <t xml:space="preserve">Only non-breakage users trigger a payout</t>
  </si>
  <si>
    <t xml:space="preserve">Infrastructure</t>
  </si>
  <si>
    <t xml:space="preserve">SMS / OTP</t>
  </si>
  <si>
    <t xml:space="preserve">Support</t>
  </si>
  <si>
    <t xml:space="preserve">TOTAL NON-REWARD COST</t>
  </si>
  <si>
    <t xml:space="preserve">REWARD BUDGET</t>
  </si>
  <si>
    <t xml:space="preserve">Target profit retained</t>
  </si>
  <si>
    <t xml:space="preserve">Budget available for rewards</t>
  </si>
  <si>
    <t xml:space="preserve">Revenue less non-reward cost less target profit</t>
  </si>
  <si>
    <t xml:space="preserve">Breakage factor (share actually paid)</t>
  </si>
  <si>
    <t xml:space="preserve">Fraud inflation factor</t>
  </si>
  <si>
    <t xml:space="preserve">SUSTAINABLE EARNING CAP</t>
  </si>
  <si>
    <t xml:space="preserve">Maximum a single user may accrue per month</t>
  </si>
  <si>
    <t xml:space="preserve">WHAT THE ₹10 FIRST PAYOUT COSTS</t>
  </si>
  <si>
    <t xml:space="preserve">Cap under v0.2 (₹30 first payout)</t>
  </si>
  <si>
    <t xml:space="preserve">Same revenue, the higher v0.2 breakage assumption</t>
  </si>
  <si>
    <t xml:space="preserve">Cap reduction from the ₹10 decision</t>
  </si>
  <si>
    <t xml:space="preserve">Negative means the ₹10 first payout costs cap headroom</t>
  </si>
  <si>
    <t xml:space="preserve">Reduction as % of the v0.2 cap</t>
  </si>
  <si>
    <t xml:space="preserve">ACQUISITION — separate book, NOT charged to the reward budget</t>
  </si>
  <si>
    <t xml:space="preserve">First payout, cash</t>
  </si>
  <si>
    <t xml:space="preserve">First payout, transaction fee</t>
  </si>
  <si>
    <t xml:space="preserve">Total first-payout cost per converting user</t>
  </si>
  <si>
    <t xml:space="preserve">Blended across all installs</t>
  </si>
  <si>
    <t xml:space="preserve">Only users who reach the threshold cost you this</t>
  </si>
  <si>
    <t xml:space="preserve">Paid install cost (CPI) benchmark</t>
  </si>
  <si>
    <t xml:space="preserve">First payout as % of a paid install</t>
  </si>
  <si>
    <t xml:space="preserve">Under 100% means it buys a paid, retained user cheaper than an ad buys a raw install</t>
  </si>
  <si>
    <t xml:space="preserve">Amortised over expected lifetime</t>
  </si>
  <si>
    <t xml:space="preserve">Monthly equivalent, for comparison against revenue only</t>
  </si>
  <si>
    <t xml:space="preserve">REALITY CHECK vs THE ORIGINAL ₹95 DESIGN</t>
  </si>
  <si>
    <t xml:space="preserve">Original design cap (₹60 math + ₹30 streak + ₹5 signup)</t>
  </si>
  <si>
    <t xml:space="preserve">The concept as first specified</t>
  </si>
  <si>
    <t xml:space="preserve">Sustainable cap as % of original</t>
  </si>
  <si>
    <t xml:space="preserve">Monthly loss per user at the original cap</t>
  </si>
  <si>
    <t xml:space="preserve">Contribution per user if ₹95 shipped unchanged</t>
  </si>
  <si>
    <t xml:space="preserve">Monthly P&amp;L at scale — Base case</t>
  </si>
  <si>
    <t xml:space="preserve">Set the cap you intend to ship in the yellow cell. Acquisition is shown separately.</t>
  </si>
  <si>
    <t xml:space="preserve">Earning cap to test</t>
  </si>
  <si>
    <t xml:space="preserve">₹ per user per month</t>
  </si>
  <si>
    <t xml:space="preserve">Sustainable cap (Base, from Model)</t>
  </si>
  <si>
    <t xml:space="preserve">Ship at or below this</t>
  </si>
  <si>
    <t xml:space="preserve">New-user share (drives acquisition cost)</t>
  </si>
  <si>
    <t xml:space="preserve">Share of MAU in their first cycle</t>
  </si>
  <si>
    <t xml:space="preserve">10k MAU</t>
  </si>
  <si>
    <t xml:space="preserve">100k MAU</t>
  </si>
  <si>
    <t xml:space="preserve">1M MAU</t>
  </si>
  <si>
    <t xml:space="preserve">Monthly active users</t>
  </si>
  <si>
    <t xml:space="preserve">Revenue</t>
  </si>
  <si>
    <t xml:space="preserve">Non-reward costs</t>
  </si>
  <si>
    <t xml:space="preserve">Reward payout at the tested cap</t>
  </si>
  <si>
    <t xml:space="preserve">CONTRIBUTION before acquisition</t>
  </si>
  <si>
    <t xml:space="preserve">Acquisition — first payouts</t>
  </si>
  <si>
    <t xml:space="preserve">One-off per new user, not a recurring reward</t>
  </si>
  <si>
    <t xml:space="preserve">CONTRIBUTION after acquisition</t>
  </si>
  <si>
    <t xml:space="preserve">Margin after acquisition</t>
  </si>
  <si>
    <t xml:space="preserve">Contribution at the ORIGINAL ₹95 cap</t>
  </si>
  <si>
    <t xml:space="preserve">What shipping the original design would cost monthly</t>
  </si>
  <si>
    <t xml:space="preserve">Contribution per user per month (before acquisition)</t>
  </si>
  <si>
    <t xml:space="preserve">Rows = earning cap shipped. Columns = total revenue per active user. Base-case costs, breakage and fraud.</t>
  </si>
  <si>
    <t xml:space="preserve">Bracketed values are losses on every active user at that combination.</t>
  </si>
  <si>
    <t xml:space="preserve">Cap \ Revenue</t>
  </si>
  <si>
    <t xml:space="preserve">₹95 is the original design. Every negative cell on that row is a loss per user per month.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</si>
</sst>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\$#,##0.00"/>
    <numFmt numFmtId="167" formatCode="0.0%;\(0.0%\);\-"/>
    <numFmt numFmtId="168" formatCode="\₹#,##0.00;&quot;(₹&quot;#,##0.00\);\-"/>
    <numFmt numFmtId="169" formatCode="\₹#,##0;&quot;(₹&quot;#,##0\);\-"/>
    <numFmt numFmtId="170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5" t="s">
        <v>24</v>
      </c>
    </row>
    <row r="31" customFormat="false" ht="15" hidden="false" customHeight="false" outlineLevel="0" collapsed="false">
      <c r="A31" s="6" t="s">
        <v>25</v>
      </c>
    </row>
    <row r="32" customFormat="false" ht="15" hidden="false" customHeight="false" outlineLevel="0" collapsed="false">
      <c r="A32" s="7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3" t="s">
        <v>28</v>
      </c>
    </row>
    <row r="36" customFormat="false" ht="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 t="s">
        <v>31</v>
      </c>
    </row>
    <row r="39" customFormat="false" ht="15" hidden="false" customHeight="false" outlineLevel="0" collapsed="false">
      <c r="A39" s="3" t="s">
        <v>32</v>
      </c>
    </row>
    <row r="40" customFormat="false" ht="15" hidden="false" customHeight="false" outlineLevel="0" collapsed="false">
      <c r="A40" s="3" t="s">
        <v>33</v>
      </c>
    </row>
    <row r="41" customFormat="false" ht="15" hidden="false" customHeight="false" outlineLevel="0" collapsed="false">
      <c r="A41" s="3" t="s">
        <v>34</v>
      </c>
    </row>
    <row r="42" customFormat="false" ht="15" hidden="false" customHeight="false" outlineLevel="0" collapsed="false">
      <c r="A42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36</v>
      </c>
    </row>
    <row r="3" customFormat="false" ht="15" hidden="false" customHeight="false" outlineLevel="0" collapsed="false">
      <c r="A3" s="8" t="s">
        <v>37</v>
      </c>
      <c r="B3" s="8" t="s">
        <v>38</v>
      </c>
      <c r="C3" s="8" t="s">
        <v>39</v>
      </c>
      <c r="D3" s="8" t="s">
        <v>40</v>
      </c>
      <c r="E3" s="8" t="s">
        <v>41</v>
      </c>
      <c r="F3" s="8" t="s">
        <v>42</v>
      </c>
    </row>
    <row r="4" customFormat="false" ht="15" hidden="false" customHeight="false" outlineLevel="0" collapsed="false">
      <c r="A4" s="9" t="s">
        <v>43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11" t="s">
        <v>44</v>
      </c>
      <c r="B5" s="12" t="n">
        <v>88</v>
      </c>
      <c r="C5" s="12" t="n">
        <v>88</v>
      </c>
      <c r="D5" s="12" t="n">
        <v>88</v>
      </c>
      <c r="E5" s="13" t="s">
        <v>45</v>
      </c>
      <c r="F5" s="14" t="s">
        <v>46</v>
      </c>
    </row>
    <row r="6" customFormat="false" ht="15" hidden="false" customHeight="false" outlineLevel="0" collapsed="false">
      <c r="A6" s="11" t="s">
        <v>47</v>
      </c>
      <c r="B6" s="12" t="n">
        <v>20</v>
      </c>
      <c r="C6" s="12" t="n">
        <v>26</v>
      </c>
      <c r="D6" s="12" t="n">
        <v>30</v>
      </c>
      <c r="E6" s="13" t="s">
        <v>48</v>
      </c>
      <c r="F6" s="14" t="s">
        <v>49</v>
      </c>
    </row>
    <row r="7" customFormat="false" ht="15" hidden="false" customHeight="false" outlineLevel="0" collapsed="false">
      <c r="A7" s="9" t="s">
        <v>50</v>
      </c>
      <c r="B7" s="10"/>
      <c r="C7" s="10"/>
      <c r="D7" s="10"/>
      <c r="E7" s="10"/>
      <c r="F7" s="10"/>
    </row>
    <row r="8" customFormat="false" ht="15" hidden="false" customHeight="false" outlineLevel="0" collapsed="false">
      <c r="A8" s="11" t="s">
        <v>51</v>
      </c>
      <c r="B8" s="15" t="n">
        <v>1</v>
      </c>
      <c r="C8" s="15" t="n">
        <v>1.5</v>
      </c>
      <c r="D8" s="15" t="n">
        <v>2.5</v>
      </c>
      <c r="E8" s="13" t="s">
        <v>52</v>
      </c>
      <c r="F8" s="14" t="s">
        <v>53</v>
      </c>
    </row>
    <row r="9" customFormat="false" ht="15" hidden="false" customHeight="false" outlineLevel="0" collapsed="false">
      <c r="A9" s="11" t="s">
        <v>54</v>
      </c>
      <c r="B9" s="12" t="n">
        <v>2</v>
      </c>
      <c r="C9" s="12" t="n">
        <v>3</v>
      </c>
      <c r="D9" s="12" t="n">
        <v>4</v>
      </c>
      <c r="E9" s="13" t="s">
        <v>55</v>
      </c>
      <c r="F9" s="14" t="s">
        <v>56</v>
      </c>
    </row>
    <row r="10" customFormat="false" ht="15" hidden="false" customHeight="false" outlineLevel="0" collapsed="false">
      <c r="A10" s="11" t="s">
        <v>57</v>
      </c>
      <c r="B10" s="16" t="n">
        <v>0.7</v>
      </c>
      <c r="C10" s="16" t="n">
        <v>0.8</v>
      </c>
      <c r="D10" s="16" t="n">
        <v>0.9</v>
      </c>
      <c r="E10" s="13" t="s">
        <v>58</v>
      </c>
      <c r="F10" s="14" t="s">
        <v>59</v>
      </c>
    </row>
    <row r="11" customFormat="false" ht="15" hidden="false" customHeight="false" outlineLevel="0" collapsed="false">
      <c r="A11" s="11" t="s">
        <v>60</v>
      </c>
      <c r="B11" s="17" t="n">
        <v>0.25</v>
      </c>
      <c r="C11" s="17" t="n">
        <v>0.4</v>
      </c>
      <c r="D11" s="17" t="n">
        <v>0.7</v>
      </c>
      <c r="E11" s="13" t="s">
        <v>52</v>
      </c>
      <c r="F11" s="14" t="s">
        <v>61</v>
      </c>
    </row>
    <row r="12" customFormat="false" ht="15" hidden="false" customHeight="false" outlineLevel="0" collapsed="false">
      <c r="A12" s="11" t="s">
        <v>62</v>
      </c>
      <c r="B12" s="12" t="n">
        <v>3</v>
      </c>
      <c r="C12" s="12" t="n">
        <v>4</v>
      </c>
      <c r="D12" s="12" t="n">
        <v>6</v>
      </c>
      <c r="E12" s="13" t="s">
        <v>55</v>
      </c>
      <c r="F12" s="14" t="s">
        <v>56</v>
      </c>
    </row>
    <row r="13" customFormat="false" ht="15" hidden="false" customHeight="false" outlineLevel="0" collapsed="false">
      <c r="A13" s="11" t="s">
        <v>63</v>
      </c>
      <c r="B13" s="18" t="n">
        <v>1</v>
      </c>
      <c r="C13" s="18" t="n">
        <v>2</v>
      </c>
      <c r="D13" s="18" t="n">
        <v>4</v>
      </c>
      <c r="E13" s="13" t="s">
        <v>64</v>
      </c>
      <c r="F13" s="14" t="s">
        <v>65</v>
      </c>
    </row>
    <row r="14" customFormat="false" ht="15" hidden="false" customHeight="false" outlineLevel="0" collapsed="false">
      <c r="A14" s="9" t="s">
        <v>66</v>
      </c>
      <c r="B14" s="10"/>
      <c r="C14" s="10"/>
      <c r="D14" s="10"/>
      <c r="E14" s="10"/>
      <c r="F14" s="10"/>
    </row>
    <row r="15" customFormat="false" ht="15" hidden="false" customHeight="false" outlineLevel="0" collapsed="false">
      <c r="A15" s="11" t="s">
        <v>67</v>
      </c>
      <c r="B15" s="19" t="n">
        <v>8</v>
      </c>
      <c r="C15" s="19" t="n">
        <v>15</v>
      </c>
      <c r="D15" s="19" t="n">
        <v>30</v>
      </c>
      <c r="E15" s="13" t="s">
        <v>68</v>
      </c>
      <c r="F15" s="14" t="s">
        <v>69</v>
      </c>
    </row>
    <row r="16" customFormat="false" ht="15" hidden="false" customHeight="false" outlineLevel="0" collapsed="false">
      <c r="A16" s="11" t="s">
        <v>70</v>
      </c>
      <c r="B16" s="12" t="n">
        <v>3</v>
      </c>
      <c r="C16" s="12" t="n">
        <v>4</v>
      </c>
      <c r="D16" s="12" t="n">
        <v>6</v>
      </c>
      <c r="E16" s="13" t="s">
        <v>71</v>
      </c>
      <c r="F16" s="14" t="s">
        <v>72</v>
      </c>
    </row>
    <row r="17" customFormat="false" ht="15" hidden="false" customHeight="false" outlineLevel="0" collapsed="false">
      <c r="A17" s="11" t="s">
        <v>73</v>
      </c>
      <c r="B17" s="19" t="n">
        <v>0.15</v>
      </c>
      <c r="C17" s="19" t="n">
        <v>0.25</v>
      </c>
      <c r="D17" s="19" t="n">
        <v>0.5</v>
      </c>
      <c r="E17" s="13" t="s">
        <v>74</v>
      </c>
      <c r="F17" s="14" t="s">
        <v>75</v>
      </c>
    </row>
    <row r="18" customFormat="false" ht="15" hidden="false" customHeight="false" outlineLevel="0" collapsed="false">
      <c r="A18" s="9" t="s">
        <v>76</v>
      </c>
      <c r="B18" s="10"/>
      <c r="C18" s="10"/>
      <c r="D18" s="10"/>
      <c r="E18" s="10"/>
      <c r="F18" s="10"/>
    </row>
    <row r="19" customFormat="false" ht="15" hidden="false" customHeight="false" outlineLevel="0" collapsed="false">
      <c r="A19" s="11" t="s">
        <v>77</v>
      </c>
      <c r="B19" s="12" t="n">
        <v>0</v>
      </c>
      <c r="C19" s="12" t="n">
        <v>0</v>
      </c>
      <c r="D19" s="12" t="n">
        <v>0</v>
      </c>
      <c r="E19" s="13" t="s">
        <v>78</v>
      </c>
      <c r="F19" s="14" t="s">
        <v>79</v>
      </c>
    </row>
    <row r="20" customFormat="false" ht="15" hidden="false" customHeight="false" outlineLevel="0" collapsed="false">
      <c r="A20" s="11" t="s">
        <v>80</v>
      </c>
      <c r="B20" s="18" t="n">
        <v>0.5</v>
      </c>
      <c r="C20" s="18" t="n">
        <v>1</v>
      </c>
      <c r="D20" s="18" t="n">
        <v>2</v>
      </c>
      <c r="E20" s="13" t="s">
        <v>81</v>
      </c>
      <c r="F20" s="14" t="s">
        <v>82</v>
      </c>
    </row>
    <row r="21" customFormat="false" ht="15" hidden="false" customHeight="false" outlineLevel="0" collapsed="false">
      <c r="A21" s="9" t="s">
        <v>83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11" t="s">
        <v>84</v>
      </c>
      <c r="B22" s="20" t="n">
        <v>10</v>
      </c>
      <c r="C22" s="20" t="n">
        <v>10</v>
      </c>
      <c r="D22" s="20" t="n">
        <v>10</v>
      </c>
      <c r="E22" s="13" t="s">
        <v>85</v>
      </c>
      <c r="F22" s="14" t="s">
        <v>86</v>
      </c>
    </row>
    <row r="23" customFormat="false" ht="15" hidden="false" customHeight="false" outlineLevel="0" collapsed="false">
      <c r="A23" s="11" t="s">
        <v>87</v>
      </c>
      <c r="B23" s="20" t="n">
        <v>30</v>
      </c>
      <c r="C23" s="20" t="n">
        <v>30</v>
      </c>
      <c r="D23" s="20" t="n">
        <v>30</v>
      </c>
      <c r="E23" s="13" t="s">
        <v>85</v>
      </c>
      <c r="F23" s="14" t="s">
        <v>88</v>
      </c>
    </row>
    <row r="24" customFormat="false" ht="15" hidden="false" customHeight="false" outlineLevel="0" collapsed="false">
      <c r="A24" s="11" t="s">
        <v>89</v>
      </c>
      <c r="B24" s="21" t="n">
        <v>0.15</v>
      </c>
      <c r="C24" s="21" t="n">
        <v>0.25</v>
      </c>
      <c r="D24" s="21" t="n">
        <v>0.4</v>
      </c>
      <c r="E24" s="13" t="s">
        <v>90</v>
      </c>
      <c r="F24" s="14" t="s">
        <v>91</v>
      </c>
    </row>
    <row r="25" customFormat="false" ht="15" hidden="false" customHeight="false" outlineLevel="0" collapsed="false">
      <c r="A25" s="11" t="s">
        <v>92</v>
      </c>
      <c r="B25" s="16" t="n">
        <v>0.25</v>
      </c>
      <c r="C25" s="16" t="n">
        <v>0.4</v>
      </c>
      <c r="D25" s="16" t="n">
        <v>0.55</v>
      </c>
      <c r="E25" s="13" t="s">
        <v>90</v>
      </c>
      <c r="F25" s="14" t="s">
        <v>93</v>
      </c>
    </row>
    <row r="26" customFormat="false" ht="15" hidden="false" customHeight="false" outlineLevel="0" collapsed="false">
      <c r="A26" s="9" t="s">
        <v>94</v>
      </c>
      <c r="B26" s="10"/>
      <c r="C26" s="10"/>
      <c r="D26" s="10"/>
      <c r="E26" s="10"/>
      <c r="F26" s="10"/>
    </row>
    <row r="27" customFormat="false" ht="15" hidden="false" customHeight="false" outlineLevel="0" collapsed="false">
      <c r="A27" s="11" t="s">
        <v>95</v>
      </c>
      <c r="B27" s="18" t="n">
        <v>5</v>
      </c>
      <c r="C27" s="18" t="n">
        <v>3</v>
      </c>
      <c r="D27" s="18" t="n">
        <v>2</v>
      </c>
      <c r="E27" s="13" t="s">
        <v>96</v>
      </c>
      <c r="F27" s="14" t="s">
        <v>97</v>
      </c>
    </row>
    <row r="28" customFormat="false" ht="15" hidden="false" customHeight="false" outlineLevel="0" collapsed="false">
      <c r="A28" s="11" t="s">
        <v>98</v>
      </c>
      <c r="B28" s="12" t="n">
        <v>1</v>
      </c>
      <c r="C28" s="12" t="n">
        <v>1</v>
      </c>
      <c r="D28" s="12" t="n">
        <v>1</v>
      </c>
      <c r="E28" s="13" t="s">
        <v>99</v>
      </c>
      <c r="F28" s="14" t="s">
        <v>100</v>
      </c>
    </row>
    <row r="29" customFormat="false" ht="15" hidden="false" customHeight="false" outlineLevel="0" collapsed="false">
      <c r="A29" s="11" t="s">
        <v>101</v>
      </c>
      <c r="B29" s="18" t="n">
        <v>0.8</v>
      </c>
      <c r="C29" s="18" t="n">
        <v>0.5</v>
      </c>
      <c r="D29" s="18" t="n">
        <v>0.3</v>
      </c>
      <c r="E29" s="13" t="s">
        <v>102</v>
      </c>
      <c r="F29" s="14" t="s">
        <v>103</v>
      </c>
    </row>
    <row r="30" customFormat="false" ht="15" hidden="false" customHeight="false" outlineLevel="0" collapsed="false">
      <c r="A30" s="11" t="s">
        <v>104</v>
      </c>
      <c r="B30" s="18" t="n">
        <v>0.3</v>
      </c>
      <c r="C30" s="18" t="n">
        <v>0.15</v>
      </c>
      <c r="D30" s="18" t="n">
        <v>0.1</v>
      </c>
      <c r="E30" s="13" t="s">
        <v>64</v>
      </c>
      <c r="F30" s="14" t="s">
        <v>56</v>
      </c>
    </row>
    <row r="31" customFormat="false" ht="15" hidden="false" customHeight="false" outlineLevel="0" collapsed="false">
      <c r="A31" s="11" t="s">
        <v>105</v>
      </c>
      <c r="B31" s="18" t="n">
        <v>0.6</v>
      </c>
      <c r="C31" s="18" t="n">
        <v>0.3</v>
      </c>
      <c r="D31" s="18" t="n">
        <v>0.15</v>
      </c>
      <c r="E31" s="13" t="s">
        <v>64</v>
      </c>
      <c r="F31" s="14" t="s">
        <v>106</v>
      </c>
    </row>
    <row r="32" customFormat="false" ht="15" hidden="false" customHeight="false" outlineLevel="0" collapsed="false">
      <c r="A32" s="11" t="s">
        <v>107</v>
      </c>
      <c r="B32" s="16" t="n">
        <v>0.1</v>
      </c>
      <c r="C32" s="16" t="n">
        <v>0.05</v>
      </c>
      <c r="D32" s="16" t="n">
        <v>0.02</v>
      </c>
      <c r="E32" s="13" t="s">
        <v>90</v>
      </c>
      <c r="F32" s="14" t="s">
        <v>108</v>
      </c>
    </row>
    <row r="33" customFormat="false" ht="15" hidden="false" customHeight="false" outlineLevel="0" collapsed="false">
      <c r="A33" s="9" t="s">
        <v>109</v>
      </c>
      <c r="B33" s="10"/>
      <c r="C33" s="10"/>
      <c r="D33" s="10"/>
      <c r="E33" s="10"/>
      <c r="F33" s="10"/>
    </row>
    <row r="34" customFormat="false" ht="15" hidden="false" customHeight="false" outlineLevel="0" collapsed="false">
      <c r="A34" s="11" t="s">
        <v>110</v>
      </c>
      <c r="B34" s="16" t="n">
        <v>0.3</v>
      </c>
      <c r="C34" s="16" t="n">
        <v>0.3</v>
      </c>
      <c r="D34" s="16" t="n">
        <v>0.3</v>
      </c>
      <c r="E34" s="13" t="s">
        <v>111</v>
      </c>
      <c r="F34" s="14" t="s">
        <v>112</v>
      </c>
    </row>
    <row r="35" customFormat="false" ht="15" hidden="false" customHeight="false" outlineLevel="0" collapsed="false">
      <c r="A35" s="22" t="s">
        <v>113</v>
      </c>
      <c r="B35" s="23"/>
      <c r="C35" s="23"/>
      <c r="D35" s="23"/>
      <c r="E35" s="23"/>
      <c r="F35" s="23"/>
    </row>
    <row r="36" customFormat="false" ht="15" hidden="false" customHeight="false" outlineLevel="0" collapsed="false">
      <c r="A36" s="11" t="s">
        <v>114</v>
      </c>
      <c r="B36" s="21" t="n">
        <v>0.55</v>
      </c>
      <c r="C36" s="21" t="n">
        <v>0.7</v>
      </c>
      <c r="D36" s="21" t="n">
        <v>0.85</v>
      </c>
      <c r="E36" s="13" t="s">
        <v>58</v>
      </c>
      <c r="F36" s="14" t="s">
        <v>115</v>
      </c>
    </row>
    <row r="37" customFormat="false" ht="15" hidden="false" customHeight="false" outlineLevel="0" collapsed="false">
      <c r="A37" s="11" t="s">
        <v>116</v>
      </c>
      <c r="B37" s="18" t="n">
        <v>5</v>
      </c>
      <c r="C37" s="18" t="n">
        <v>5</v>
      </c>
      <c r="D37" s="18" t="n">
        <v>5</v>
      </c>
      <c r="E37" s="13" t="s">
        <v>85</v>
      </c>
      <c r="F37" s="14" t="s">
        <v>117</v>
      </c>
    </row>
    <row r="38" customFormat="false" ht="15" hidden="false" customHeight="false" outlineLevel="0" collapsed="false">
      <c r="A38" s="11" t="s">
        <v>118</v>
      </c>
      <c r="B38" s="18" t="n">
        <v>30</v>
      </c>
      <c r="C38" s="18" t="n">
        <v>22</v>
      </c>
      <c r="D38" s="18" t="n">
        <v>15</v>
      </c>
      <c r="E38" s="13" t="s">
        <v>119</v>
      </c>
      <c r="F38" s="1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4" t="s">
        <v>122</v>
      </c>
    </row>
    <row r="4" customFormat="false" ht="15" hidden="false" customHeight="false" outlineLevel="0" collapsed="false">
      <c r="A4" s="8" t="s">
        <v>123</v>
      </c>
      <c r="B4" s="8" t="s">
        <v>38</v>
      </c>
      <c r="C4" s="8" t="s">
        <v>39</v>
      </c>
      <c r="D4" s="8" t="s">
        <v>40</v>
      </c>
      <c r="E4" s="8" t="s">
        <v>124</v>
      </c>
    </row>
    <row r="5" customFormat="false" ht="15" hidden="false" customHeight="false" outlineLevel="0" collapsed="false">
      <c r="A5" s="9" t="s">
        <v>125</v>
      </c>
      <c r="B5" s="10"/>
      <c r="C5" s="10"/>
      <c r="D5" s="10"/>
      <c r="E5" s="10"/>
    </row>
    <row r="6" customFormat="false" ht="15" hidden="false" customHeight="false" outlineLevel="0" collapsed="false">
      <c r="A6" s="11" t="s">
        <v>126</v>
      </c>
      <c r="B6" s="25" t="n">
        <f aca="false">Assumptions!B8*Assumptions!B5/1000*Assumptions!B9*Assumptions!B6*Assumptions!B10</f>
        <v>2.464</v>
      </c>
      <c r="C6" s="25" t="n">
        <f aca="false">Assumptions!C8*Assumptions!C5/1000*Assumptions!C9*Assumptions!C6*Assumptions!C10</f>
        <v>8.2368</v>
      </c>
      <c r="D6" s="25" t="n">
        <f aca="false">Assumptions!D8*Assumptions!D5/1000*Assumptions!D9*Assumptions!D6*Assumptions!D10</f>
        <v>23.76</v>
      </c>
      <c r="E6" s="14" t="s">
        <v>127</v>
      </c>
    </row>
    <row r="7" customFormat="false" ht="15" hidden="false" customHeight="false" outlineLevel="0" collapsed="false">
      <c r="A7" s="11" t="s">
        <v>128</v>
      </c>
      <c r="B7" s="25" t="n">
        <f aca="false">Assumptions!B11*Assumptions!B5/1000*Assumptions!B12*Assumptions!B6*Assumptions!B10</f>
        <v>0.924</v>
      </c>
      <c r="C7" s="25" t="n">
        <f aca="false">Assumptions!C11*Assumptions!C5/1000*Assumptions!C12*Assumptions!C6*Assumptions!C10</f>
        <v>2.92864</v>
      </c>
      <c r="D7" s="25" t="n">
        <f aca="false">Assumptions!D11*Assumptions!D5/1000*Assumptions!D12*Assumptions!D6*Assumptions!D10</f>
        <v>9.9792</v>
      </c>
      <c r="E7" s="14"/>
    </row>
    <row r="8" customFormat="false" ht="15" hidden="false" customHeight="false" outlineLevel="0" collapsed="false">
      <c r="A8" s="11" t="s">
        <v>129</v>
      </c>
      <c r="B8" s="25" t="n">
        <f aca="false">Assumptions!B13</f>
        <v>1</v>
      </c>
      <c r="C8" s="25" t="n">
        <f aca="false">Assumptions!C13</f>
        <v>2</v>
      </c>
      <c r="D8" s="25" t="n">
        <f aca="false">Assumptions!D13</f>
        <v>4</v>
      </c>
      <c r="E8" s="14"/>
    </row>
    <row r="9" customFormat="false" ht="15" hidden="false" customHeight="false" outlineLevel="0" collapsed="false">
      <c r="A9" s="11" t="s">
        <v>130</v>
      </c>
      <c r="B9" s="25" t="n">
        <f aca="false">Assumptions!B15/Assumptions!B16</f>
        <v>2.66666666666667</v>
      </c>
      <c r="C9" s="25" t="n">
        <f aca="false">Assumptions!C15/Assumptions!C16</f>
        <v>3.75</v>
      </c>
      <c r="D9" s="25" t="n">
        <f aca="false">Assumptions!D15/Assumptions!D16</f>
        <v>5</v>
      </c>
      <c r="E9" s="14"/>
    </row>
    <row r="10" customFormat="false" ht="15" hidden="false" customHeight="false" outlineLevel="0" collapsed="false">
      <c r="A10" s="11" t="s">
        <v>131</v>
      </c>
      <c r="B10" s="25" t="n">
        <f aca="false">Assumptions!B17*Assumptions!B6</f>
        <v>3</v>
      </c>
      <c r="C10" s="25" t="n">
        <f aca="false">Assumptions!C17*Assumptions!C6</f>
        <v>6.5</v>
      </c>
      <c r="D10" s="25" t="n">
        <f aca="false">Assumptions!D17*Assumptions!D6</f>
        <v>15</v>
      </c>
      <c r="E10" s="14" t="s">
        <v>132</v>
      </c>
    </row>
    <row r="11" customFormat="false" ht="15" hidden="false" customHeight="false" outlineLevel="0" collapsed="false">
      <c r="A11" s="11" t="s">
        <v>133</v>
      </c>
      <c r="B11" s="25" t="n">
        <f aca="false">Assumptions!B19*Assumptions!B20*Assumptions!B6</f>
        <v>0</v>
      </c>
      <c r="C11" s="25" t="n">
        <f aca="false">Assumptions!C19*Assumptions!C20*Assumptions!C6</f>
        <v>0</v>
      </c>
      <c r="D11" s="25" t="n">
        <f aca="false">Assumptions!D19*Assumptions!D20*Assumptions!D6</f>
        <v>0</v>
      </c>
      <c r="E11" s="14" t="s">
        <v>134</v>
      </c>
    </row>
    <row r="12" customFormat="false" ht="15" hidden="false" customHeight="false" outlineLevel="0" collapsed="false">
      <c r="A12" s="26" t="s">
        <v>135</v>
      </c>
      <c r="B12" s="27" t="n">
        <f aca="false">SUM(B6:B11)</f>
        <v>10.0546666666667</v>
      </c>
      <c r="C12" s="27" t="n">
        <f aca="false">SUM(C6:C11)</f>
        <v>23.41544</v>
      </c>
      <c r="D12" s="27" t="n">
        <f aca="false">SUM(D6:D11)</f>
        <v>57.7392</v>
      </c>
      <c r="E12" s="28"/>
    </row>
    <row r="14" customFormat="false" ht="15" hidden="false" customHeight="false" outlineLevel="0" collapsed="false">
      <c r="A14" s="9" t="s">
        <v>136</v>
      </c>
      <c r="B14" s="10"/>
      <c r="C14" s="10"/>
      <c r="D14" s="10"/>
      <c r="E14" s="10"/>
    </row>
    <row r="15" customFormat="false" ht="15" hidden="false" customHeight="false" outlineLevel="0" collapsed="false">
      <c r="A15" s="11" t="s">
        <v>137</v>
      </c>
      <c r="B15" s="25" t="n">
        <f aca="false">Assumptions!B27*Assumptions!B28*(1-Assumptions!B24)</f>
        <v>4.25</v>
      </c>
      <c r="C15" s="25" t="n">
        <f aca="false">Assumptions!C27*Assumptions!C28*(1-Assumptions!C24)</f>
        <v>2.25</v>
      </c>
      <c r="D15" s="25" t="n">
        <f aca="false">Assumptions!D27*Assumptions!D28*(1-Assumptions!D24)</f>
        <v>1.2</v>
      </c>
      <c r="E15" s="14" t="s">
        <v>138</v>
      </c>
    </row>
    <row r="16" customFormat="false" ht="15" hidden="false" customHeight="false" outlineLevel="0" collapsed="false">
      <c r="A16" s="11" t="s">
        <v>139</v>
      </c>
      <c r="B16" s="25" t="n">
        <f aca="false">Assumptions!B29</f>
        <v>0.8</v>
      </c>
      <c r="C16" s="25" t="n">
        <f aca="false">Assumptions!C29</f>
        <v>0.5</v>
      </c>
      <c r="D16" s="25" t="n">
        <f aca="false">Assumptions!D29</f>
        <v>0.3</v>
      </c>
      <c r="E16" s="14"/>
    </row>
    <row r="17" customFormat="false" ht="15" hidden="false" customHeight="false" outlineLevel="0" collapsed="false">
      <c r="A17" s="11" t="s">
        <v>140</v>
      </c>
      <c r="B17" s="25" t="n">
        <f aca="false">Assumptions!B30</f>
        <v>0.3</v>
      </c>
      <c r="C17" s="25" t="n">
        <f aca="false">Assumptions!C30</f>
        <v>0.15</v>
      </c>
      <c r="D17" s="25" t="n">
        <f aca="false">Assumptions!D30</f>
        <v>0.1</v>
      </c>
      <c r="E17" s="14"/>
    </row>
    <row r="18" customFormat="false" ht="15" hidden="false" customHeight="false" outlineLevel="0" collapsed="false">
      <c r="A18" s="11" t="s">
        <v>141</v>
      </c>
      <c r="B18" s="25" t="n">
        <f aca="false">Assumptions!B31</f>
        <v>0.6</v>
      </c>
      <c r="C18" s="25" t="n">
        <f aca="false">Assumptions!C31</f>
        <v>0.3</v>
      </c>
      <c r="D18" s="25" t="n">
        <f aca="false">Assumptions!D31</f>
        <v>0.15</v>
      </c>
      <c r="E18" s="14"/>
    </row>
    <row r="19" customFormat="false" ht="15" hidden="false" customHeight="false" outlineLevel="0" collapsed="false">
      <c r="A19" s="26" t="s">
        <v>142</v>
      </c>
      <c r="B19" s="27" t="n">
        <f aca="false">SUM(B15:B18)</f>
        <v>5.95</v>
      </c>
      <c r="C19" s="27" t="n">
        <f aca="false">SUM(C15:C18)</f>
        <v>3.2</v>
      </c>
      <c r="D19" s="27" t="n">
        <f aca="false">SUM(D15:D18)</f>
        <v>1.75</v>
      </c>
      <c r="E19" s="28"/>
    </row>
    <row r="21" customFormat="false" ht="15" hidden="false" customHeight="false" outlineLevel="0" collapsed="false">
      <c r="A21" s="9" t="s">
        <v>143</v>
      </c>
      <c r="B21" s="10"/>
      <c r="C21" s="10"/>
      <c r="D21" s="10"/>
      <c r="E21" s="10"/>
    </row>
    <row r="22" customFormat="false" ht="15" hidden="false" customHeight="false" outlineLevel="0" collapsed="false">
      <c r="A22" s="11" t="s">
        <v>144</v>
      </c>
      <c r="B22" s="25" t="n">
        <f aca="false">B12*Assumptions!B34</f>
        <v>3.0164</v>
      </c>
      <c r="C22" s="25" t="n">
        <f aca="false">C12*Assumptions!C34</f>
        <v>7.024632</v>
      </c>
      <c r="D22" s="25" t="n">
        <f aca="false">D12*Assumptions!D34</f>
        <v>17.32176</v>
      </c>
      <c r="E22" s="14"/>
    </row>
    <row r="23" customFormat="false" ht="15" hidden="false" customHeight="false" outlineLevel="0" collapsed="false">
      <c r="A23" s="29" t="s">
        <v>145</v>
      </c>
      <c r="B23" s="30" t="n">
        <f aca="false">B12-B19-B22</f>
        <v>1.08826666666667</v>
      </c>
      <c r="C23" s="30" t="n">
        <f aca="false">C12-C19-C22</f>
        <v>13.190808</v>
      </c>
      <c r="D23" s="30" t="n">
        <f aca="false">D12-D19-D22</f>
        <v>38.66744</v>
      </c>
      <c r="E23" s="14" t="s">
        <v>146</v>
      </c>
    </row>
    <row r="24" customFormat="false" ht="15" hidden="false" customHeight="false" outlineLevel="0" collapsed="false">
      <c r="A24" s="11" t="s">
        <v>147</v>
      </c>
      <c r="B24" s="31" t="n">
        <f aca="false">1-Assumptions!B24</f>
        <v>0.85</v>
      </c>
      <c r="C24" s="31" t="n">
        <f aca="false">1-Assumptions!C24</f>
        <v>0.75</v>
      </c>
      <c r="D24" s="31" t="n">
        <f aca="false">1-Assumptions!D24</f>
        <v>0.6</v>
      </c>
      <c r="E24" s="14"/>
    </row>
    <row r="25" customFormat="false" ht="15" hidden="false" customHeight="false" outlineLevel="0" collapsed="false">
      <c r="A25" s="11" t="s">
        <v>148</v>
      </c>
      <c r="B25" s="32" t="n">
        <f aca="false">1+Assumptions!B32</f>
        <v>1.1</v>
      </c>
      <c r="C25" s="32" t="n">
        <f aca="false">1+Assumptions!C32</f>
        <v>1.05</v>
      </c>
      <c r="D25" s="32" t="n">
        <f aca="false">1+Assumptions!D32</f>
        <v>1.02</v>
      </c>
      <c r="E25" s="14"/>
    </row>
    <row r="26" customFormat="false" ht="15" hidden="false" customHeight="false" outlineLevel="0" collapsed="false">
      <c r="A26" s="26" t="s">
        <v>149</v>
      </c>
      <c r="B26" s="27" t="n">
        <f aca="false">B23/(B24*B25)</f>
        <v>1.16392156862745</v>
      </c>
      <c r="C26" s="27" t="n">
        <f aca="false">C23/(C24*C25)</f>
        <v>16.7502323809524</v>
      </c>
      <c r="D26" s="27" t="n">
        <f aca="false">D23/(D24*D25)</f>
        <v>63.182091503268</v>
      </c>
      <c r="E26" s="28" t="s">
        <v>150</v>
      </c>
    </row>
    <row r="28" customFormat="false" ht="15" hidden="false" customHeight="false" outlineLevel="0" collapsed="false">
      <c r="A28" s="9" t="s">
        <v>151</v>
      </c>
      <c r="B28" s="10"/>
      <c r="C28" s="10"/>
      <c r="D28" s="10"/>
      <c r="E28" s="10"/>
    </row>
    <row r="29" customFormat="false" ht="15" hidden="false" customHeight="false" outlineLevel="0" collapsed="false">
      <c r="A29" s="11" t="s">
        <v>152</v>
      </c>
      <c r="B29" s="25" t="n">
        <f aca="false">(B12-(Assumptions!B27*Assumptions!B28*(1-Assumptions!B25)+Assumptions!B29+Assumptions!B30+Assumptions!B31)-B22)/((1-Assumptions!B25)*B25)</f>
        <v>1.92517171717172</v>
      </c>
      <c r="C29" s="25" t="n">
        <f aca="false">(C12-(Assumptions!C27*Assumptions!C28*(1-Assumptions!C25)+Assumptions!C29+Assumptions!C30+Assumptions!C31)-C22)/((1-Assumptions!C25)*C25)</f>
        <v>21.6520761904762</v>
      </c>
      <c r="D29" s="25" t="n">
        <f aca="false">(D12-(Assumptions!D27*Assumptions!D28*(1-Assumptions!D25)+Assumptions!D29+Assumptions!D30+Assumptions!D31)-D22)/((1-Assumptions!D25)*D25)</f>
        <v>84.8963834422658</v>
      </c>
      <c r="E29" s="14" t="s">
        <v>153</v>
      </c>
    </row>
    <row r="30" customFormat="false" ht="15" hidden="false" customHeight="false" outlineLevel="0" collapsed="false">
      <c r="A30" s="29" t="s">
        <v>154</v>
      </c>
      <c r="B30" s="30" t="n">
        <f aca="false">B26-B29</f>
        <v>-0.761250148544266</v>
      </c>
      <c r="C30" s="30" t="n">
        <f aca="false">C26-C29</f>
        <v>-4.90184380952381</v>
      </c>
      <c r="D30" s="30" t="n">
        <f aca="false">D26-D29</f>
        <v>-21.7142919389978</v>
      </c>
      <c r="E30" s="14" t="s">
        <v>155</v>
      </c>
    </row>
    <row r="31" customFormat="false" ht="15" hidden="false" customHeight="false" outlineLevel="0" collapsed="false">
      <c r="A31" s="29" t="s">
        <v>156</v>
      </c>
      <c r="B31" s="33" t="n">
        <f aca="false">IF(B29=0,0,B30/B29)</f>
        <v>-0.39541934974124</v>
      </c>
      <c r="C31" s="33" t="n">
        <f aca="false">IF(C29=0,0,C30/C29)</f>
        <v>-0.226391398515396</v>
      </c>
      <c r="D31" s="33" t="n">
        <f aca="false">IF(D29=0,0,D30/D29)</f>
        <v>-0.255774051361855</v>
      </c>
      <c r="E31" s="14"/>
    </row>
    <row r="33" customFormat="false" ht="15" hidden="false" customHeight="false" outlineLevel="0" collapsed="false">
      <c r="A33" s="22" t="s">
        <v>157</v>
      </c>
      <c r="B33" s="23"/>
      <c r="C33" s="23"/>
      <c r="D33" s="23"/>
      <c r="E33" s="23"/>
    </row>
    <row r="34" customFormat="false" ht="15" hidden="false" customHeight="false" outlineLevel="0" collapsed="false">
      <c r="A34" s="34" t="s">
        <v>158</v>
      </c>
      <c r="B34" s="35" t="n">
        <f aca="false">Assumptions!B22</f>
        <v>10</v>
      </c>
      <c r="C34" s="35" t="n">
        <f aca="false">Assumptions!C22</f>
        <v>10</v>
      </c>
      <c r="D34" s="35" t="n">
        <f aca="false">Assumptions!D22</f>
        <v>10</v>
      </c>
      <c r="E34" s="36"/>
    </row>
    <row r="35" customFormat="false" ht="15" hidden="false" customHeight="false" outlineLevel="0" collapsed="false">
      <c r="A35" s="34" t="s">
        <v>159</v>
      </c>
      <c r="B35" s="35" t="n">
        <f aca="false">Assumptions!B27</f>
        <v>5</v>
      </c>
      <c r="C35" s="35" t="n">
        <f aca="false">Assumptions!C27</f>
        <v>3</v>
      </c>
      <c r="D35" s="35" t="n">
        <f aca="false">Assumptions!D27</f>
        <v>2</v>
      </c>
      <c r="E35" s="36"/>
    </row>
    <row r="36" customFormat="false" ht="15" hidden="false" customHeight="false" outlineLevel="0" collapsed="false">
      <c r="A36" s="22" t="s">
        <v>160</v>
      </c>
      <c r="B36" s="37" t="n">
        <f aca="false">B34+B35</f>
        <v>15</v>
      </c>
      <c r="C36" s="37" t="n">
        <f aca="false">C34+C35</f>
        <v>13</v>
      </c>
      <c r="D36" s="37" t="n">
        <f aca="false">D34+D35</f>
        <v>12</v>
      </c>
      <c r="E36" s="36"/>
    </row>
    <row r="37" customFormat="false" ht="15" hidden="false" customHeight="false" outlineLevel="0" collapsed="false">
      <c r="A37" s="34" t="s">
        <v>161</v>
      </c>
      <c r="B37" s="35" t="n">
        <f aca="false">B36*Assumptions!B36</f>
        <v>8.25</v>
      </c>
      <c r="C37" s="35" t="n">
        <f aca="false">C36*Assumptions!C36</f>
        <v>9.1</v>
      </c>
      <c r="D37" s="35" t="n">
        <f aca="false">D36*Assumptions!D36</f>
        <v>10.2</v>
      </c>
      <c r="E37" s="36" t="s">
        <v>162</v>
      </c>
    </row>
    <row r="38" customFormat="false" ht="15" hidden="false" customHeight="false" outlineLevel="0" collapsed="false">
      <c r="A38" s="34" t="s">
        <v>163</v>
      </c>
      <c r="B38" s="35" t="n">
        <f aca="false">Assumptions!B38</f>
        <v>30</v>
      </c>
      <c r="C38" s="35" t="n">
        <f aca="false">Assumptions!C38</f>
        <v>22</v>
      </c>
      <c r="D38" s="35" t="n">
        <f aca="false">Assumptions!D38</f>
        <v>15</v>
      </c>
      <c r="E38" s="36"/>
    </row>
    <row r="39" customFormat="false" ht="15" hidden="false" customHeight="false" outlineLevel="0" collapsed="false">
      <c r="A39" s="22" t="s">
        <v>164</v>
      </c>
      <c r="B39" s="38" t="n">
        <f aca="false">IF(B38=0,0,B37/B38)</f>
        <v>0.275</v>
      </c>
      <c r="C39" s="38" t="n">
        <f aca="false">IF(C38=0,0,C37/C38)</f>
        <v>0.413636363636364</v>
      </c>
      <c r="D39" s="38" t="n">
        <f aca="false">IF(D38=0,0,D37/D38)</f>
        <v>0.68</v>
      </c>
      <c r="E39" s="36" t="s">
        <v>165</v>
      </c>
    </row>
    <row r="40" customFormat="false" ht="15" hidden="false" customHeight="false" outlineLevel="0" collapsed="false">
      <c r="A40" s="34" t="s">
        <v>166</v>
      </c>
      <c r="B40" s="35" t="n">
        <f aca="false">B37/Assumptions!B16</f>
        <v>2.75</v>
      </c>
      <c r="C40" s="35" t="n">
        <f aca="false">C37/Assumptions!C16</f>
        <v>2.275</v>
      </c>
      <c r="D40" s="35" t="n">
        <f aca="false">D37/Assumptions!D16</f>
        <v>1.7</v>
      </c>
      <c r="E40" s="36" t="s">
        <v>167</v>
      </c>
    </row>
    <row r="42" customFormat="false" ht="15" hidden="false" customHeight="false" outlineLevel="0" collapsed="false">
      <c r="A42" s="9" t="s">
        <v>168</v>
      </c>
      <c r="B42" s="10"/>
      <c r="C42" s="10"/>
      <c r="D42" s="10"/>
      <c r="E42" s="10"/>
    </row>
    <row r="43" customFormat="false" ht="15" hidden="false" customHeight="false" outlineLevel="0" collapsed="false">
      <c r="A43" s="11" t="s">
        <v>169</v>
      </c>
      <c r="B43" s="20" t="n">
        <v>95</v>
      </c>
      <c r="C43" s="20" t="n">
        <v>95</v>
      </c>
      <c r="D43" s="20" t="n">
        <v>95</v>
      </c>
      <c r="E43" s="24" t="s">
        <v>170</v>
      </c>
    </row>
    <row r="44" customFormat="false" ht="15" hidden="false" customHeight="false" outlineLevel="0" collapsed="false">
      <c r="A44" s="29" t="s">
        <v>171</v>
      </c>
      <c r="B44" s="33" t="n">
        <f aca="false">B26/B43</f>
        <v>0.0122518059855521</v>
      </c>
      <c r="C44" s="33" t="n">
        <f aca="false">C26/C43</f>
        <v>0.176318235588972</v>
      </c>
      <c r="D44" s="33" t="n">
        <f aca="false">D26/D43</f>
        <v>0.665074647402821</v>
      </c>
      <c r="E44" s="14"/>
    </row>
    <row r="45" customFormat="false" ht="15" hidden="false" customHeight="false" outlineLevel="0" collapsed="false">
      <c r="A45" s="29" t="s">
        <v>172</v>
      </c>
      <c r="B45" s="30" t="n">
        <f aca="false">B12-B19-(B43*B24*B25)</f>
        <v>-84.7203333333333</v>
      </c>
      <c r="C45" s="30" t="n">
        <f aca="false">C12-C19-(C43*C24*C25)</f>
        <v>-54.59706</v>
      </c>
      <c r="D45" s="30" t="n">
        <f aca="false">D12-D19-(D43*D24*D25)</f>
        <v>-2.1508</v>
      </c>
      <c r="E45" s="14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8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24" t="s">
        <v>175</v>
      </c>
    </row>
    <row r="4" customFormat="false" ht="15" hidden="false" customHeight="false" outlineLevel="0" collapsed="false">
      <c r="A4" s="2" t="s">
        <v>176</v>
      </c>
      <c r="B4" s="39" t="n">
        <v>15</v>
      </c>
      <c r="C4" s="24" t="s">
        <v>177</v>
      </c>
    </row>
    <row r="5" customFormat="false" ht="15" hidden="false" customHeight="false" outlineLevel="0" collapsed="false">
      <c r="A5" s="0" t="s">
        <v>178</v>
      </c>
      <c r="B5" s="40" t="n">
        <f aca="false">Model!C26</f>
        <v>16.7502323809524</v>
      </c>
      <c r="C5" s="24" t="s">
        <v>179</v>
      </c>
    </row>
    <row r="6" customFormat="false" ht="15" hidden="false" customHeight="false" outlineLevel="0" collapsed="false">
      <c r="A6" s="0" t="s">
        <v>180</v>
      </c>
      <c r="B6" s="41" t="n">
        <v>0.25</v>
      </c>
      <c r="C6" s="24" t="s">
        <v>181</v>
      </c>
    </row>
    <row r="8" customFormat="false" ht="15" hidden="false" customHeight="false" outlineLevel="0" collapsed="false">
      <c r="A8" s="42" t="s">
        <v>123</v>
      </c>
      <c r="B8" s="42" t="s">
        <v>182</v>
      </c>
      <c r="C8" s="42" t="s">
        <v>183</v>
      </c>
      <c r="D8" s="42" t="s">
        <v>184</v>
      </c>
    </row>
    <row r="9" customFormat="false" ht="15" hidden="false" customHeight="false" outlineLevel="0" collapsed="false">
      <c r="A9" s="43" t="s">
        <v>185</v>
      </c>
      <c r="B9" s="44" t="n">
        <v>10000</v>
      </c>
      <c r="C9" s="44" t="n">
        <v>100000</v>
      </c>
      <c r="D9" s="44" t="n">
        <v>1000000</v>
      </c>
    </row>
    <row r="10" customFormat="false" ht="15" hidden="false" customHeight="false" outlineLevel="0" collapsed="false">
      <c r="A10" s="11" t="s">
        <v>186</v>
      </c>
      <c r="B10" s="45" t="n">
        <f aca="false">B9*Model!$C$12</f>
        <v>234154.4</v>
      </c>
      <c r="C10" s="45" t="n">
        <f aca="false">C9*Model!$C$12</f>
        <v>2341544</v>
      </c>
      <c r="D10" s="45" t="n">
        <f aca="false">D9*Model!$C$12</f>
        <v>23415440</v>
      </c>
      <c r="E10" s="24"/>
    </row>
    <row r="11" customFormat="false" ht="15" hidden="false" customHeight="false" outlineLevel="0" collapsed="false">
      <c r="A11" s="11" t="s">
        <v>187</v>
      </c>
      <c r="B11" s="45" t="n">
        <f aca="false">-B9*Model!$C$19</f>
        <v>-32000</v>
      </c>
      <c r="C11" s="45" t="n">
        <f aca="false">-C9*Model!$C$19</f>
        <v>-320000</v>
      </c>
      <c r="D11" s="45" t="n">
        <f aca="false">-D9*Model!$C$19</f>
        <v>-3200000</v>
      </c>
      <c r="E11" s="24"/>
    </row>
    <row r="12" customFormat="false" ht="15" hidden="false" customHeight="false" outlineLevel="0" collapsed="false">
      <c r="A12" s="11" t="s">
        <v>188</v>
      </c>
      <c r="B12" s="45" t="n">
        <f aca="false">-B9*$B$4*Model!$C$24*Model!$C$25</f>
        <v>-118125</v>
      </c>
      <c r="C12" s="45" t="n">
        <f aca="false">-C9*$B$4*Model!$C$24*Model!$C$25</f>
        <v>-1181250</v>
      </c>
      <c r="D12" s="45" t="n">
        <f aca="false">-D9*$B$4*Model!$C$24*Model!$C$25</f>
        <v>-11812500</v>
      </c>
      <c r="E12" s="24"/>
    </row>
    <row r="13" customFormat="false" ht="15" hidden="false" customHeight="false" outlineLevel="0" collapsed="false">
      <c r="A13" s="26" t="s">
        <v>189</v>
      </c>
      <c r="B13" s="46" t="n">
        <f aca="false">SUM(B10:B12)</f>
        <v>84029.4</v>
      </c>
      <c r="C13" s="46" t="n">
        <f aca="false">SUM(C10:C12)</f>
        <v>840294</v>
      </c>
      <c r="D13" s="46" t="n">
        <f aca="false">SUM(D10:D12)</f>
        <v>8402940</v>
      </c>
      <c r="E13" s="24"/>
    </row>
    <row r="14" customFormat="false" ht="15" hidden="false" customHeight="false" outlineLevel="0" collapsed="false">
      <c r="A14" s="34" t="s">
        <v>190</v>
      </c>
      <c r="B14" s="47" t="n">
        <f aca="false">-B9*$B$6*Model!$C$37</f>
        <v>-22750</v>
      </c>
      <c r="C14" s="47" t="n">
        <f aca="false">-C9*$B$6*Model!$C$37</f>
        <v>-227500</v>
      </c>
      <c r="D14" s="47" t="n">
        <f aca="false">-D9*$B$6*Model!$C$37</f>
        <v>-2275000</v>
      </c>
      <c r="E14" s="24" t="s">
        <v>191</v>
      </c>
    </row>
    <row r="15" customFormat="false" ht="15" hidden="false" customHeight="false" outlineLevel="0" collapsed="false">
      <c r="A15" s="26" t="s">
        <v>192</v>
      </c>
      <c r="B15" s="46" t="n">
        <f aca="false">B13+B14</f>
        <v>61279.4</v>
      </c>
      <c r="C15" s="46" t="n">
        <f aca="false">C13+C14</f>
        <v>612794</v>
      </c>
      <c r="D15" s="46" t="n">
        <f aca="false">D13+D14</f>
        <v>6127940</v>
      </c>
      <c r="E15" s="24"/>
    </row>
    <row r="16" customFormat="false" ht="15" hidden="false" customHeight="false" outlineLevel="0" collapsed="false">
      <c r="A16" s="26" t="s">
        <v>193</v>
      </c>
      <c r="B16" s="48" t="n">
        <f aca="false">IF(B10=0,0,B15/B10)</f>
        <v>0.261705097149573</v>
      </c>
      <c r="C16" s="48" t="n">
        <f aca="false">IF(C10=0,0,C15/C10)</f>
        <v>0.261705097149573</v>
      </c>
      <c r="D16" s="48" t="n">
        <f aca="false">IF(D10=0,0,D15/D10)</f>
        <v>0.261705097149573</v>
      </c>
      <c r="E16" s="24"/>
    </row>
    <row r="18" customFormat="false" ht="15" hidden="false" customHeight="false" outlineLevel="0" collapsed="false">
      <c r="A18" s="29" t="s">
        <v>194</v>
      </c>
      <c r="B18" s="49" t="n">
        <f aca="false">B9*Model!$C$12-B9*Model!$C$19-B9*Model!$C$43*Model!$C$24*Model!$C$25</f>
        <v>-545970.6</v>
      </c>
      <c r="C18" s="49" t="n">
        <f aca="false">C9*Model!$C$12-C9*Model!$C$19-C9*Model!$C$43*Model!$C$24*Model!$C$25</f>
        <v>-5459706</v>
      </c>
      <c r="D18" s="49" t="n">
        <f aca="false">D9*Model!$C$12-D9*Model!$C$19-D9*Model!$C$43*Model!$C$24*Model!$C$25</f>
        <v>-54597060</v>
      </c>
      <c r="E18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4" t="s">
        <v>197</v>
      </c>
    </row>
    <row r="3" customFormat="false" ht="15" hidden="false" customHeight="false" outlineLevel="0" collapsed="false">
      <c r="A3" s="24" t="s">
        <v>198</v>
      </c>
    </row>
    <row r="5" customFormat="false" ht="15" hidden="false" customHeight="false" outlineLevel="0" collapsed="false">
      <c r="A5" s="8" t="s">
        <v>199</v>
      </c>
      <c r="B5" s="50" t="n">
        <v>10</v>
      </c>
      <c r="C5" s="50" t="n">
        <v>15</v>
      </c>
      <c r="D5" s="50" t="n">
        <v>20</v>
      </c>
      <c r="E5" s="50" t="n">
        <v>25</v>
      </c>
      <c r="F5" s="50" t="n">
        <v>30</v>
      </c>
      <c r="G5" s="50" t="n">
        <v>35</v>
      </c>
      <c r="H5" s="50" t="n">
        <v>40</v>
      </c>
      <c r="I5" s="50" t="n">
        <v>50</v>
      </c>
    </row>
    <row r="6" customFormat="false" ht="15" hidden="false" customHeight="false" outlineLevel="0" collapsed="false">
      <c r="A6" s="20" t="n">
        <v>5</v>
      </c>
      <c r="B6" s="51" t="n">
        <f aca="false">B$5-Model!$C$19-$A6*Model!$C$24*Model!$C$25</f>
        <v>2.8625</v>
      </c>
      <c r="C6" s="51" t="n">
        <f aca="false">C$5-Model!$C$19-$A6*Model!$C$24*Model!$C$25</f>
        <v>7.8625</v>
      </c>
      <c r="D6" s="51" t="n">
        <f aca="false">D$5-Model!$C$19-$A6*Model!$C$24*Model!$C$25</f>
        <v>12.8625</v>
      </c>
      <c r="E6" s="51" t="n">
        <f aca="false">E$5-Model!$C$19-$A6*Model!$C$24*Model!$C$25</f>
        <v>17.8625</v>
      </c>
      <c r="F6" s="51" t="n">
        <f aca="false">F$5-Model!$C$19-$A6*Model!$C$24*Model!$C$25</f>
        <v>22.8625</v>
      </c>
      <c r="G6" s="51" t="n">
        <f aca="false">G$5-Model!$C$19-$A6*Model!$C$24*Model!$C$25</f>
        <v>27.8625</v>
      </c>
      <c r="H6" s="51" t="n">
        <f aca="false">H$5-Model!$C$19-$A6*Model!$C$24*Model!$C$25</f>
        <v>32.8625</v>
      </c>
      <c r="I6" s="51" t="n">
        <f aca="false">I$5-Model!$C$19-$A6*Model!$C$24*Model!$C$25</f>
        <v>42.8625</v>
      </c>
    </row>
    <row r="7" customFormat="false" ht="15" hidden="false" customHeight="false" outlineLevel="0" collapsed="false">
      <c r="A7" s="20" t="n">
        <v>10</v>
      </c>
      <c r="B7" s="51" t="n">
        <f aca="false">B$5-Model!$C$19-$A7*Model!$C$24*Model!$C$25</f>
        <v>-1.075</v>
      </c>
      <c r="C7" s="51" t="n">
        <f aca="false">C$5-Model!$C$19-$A7*Model!$C$24*Model!$C$25</f>
        <v>3.925</v>
      </c>
      <c r="D7" s="51" t="n">
        <f aca="false">D$5-Model!$C$19-$A7*Model!$C$24*Model!$C$25</f>
        <v>8.925</v>
      </c>
      <c r="E7" s="51" t="n">
        <f aca="false">E$5-Model!$C$19-$A7*Model!$C$24*Model!$C$25</f>
        <v>13.925</v>
      </c>
      <c r="F7" s="51" t="n">
        <f aca="false">F$5-Model!$C$19-$A7*Model!$C$24*Model!$C$25</f>
        <v>18.925</v>
      </c>
      <c r="G7" s="51" t="n">
        <f aca="false">G$5-Model!$C$19-$A7*Model!$C$24*Model!$C$25</f>
        <v>23.925</v>
      </c>
      <c r="H7" s="51" t="n">
        <f aca="false">H$5-Model!$C$19-$A7*Model!$C$24*Model!$C$25</f>
        <v>28.925</v>
      </c>
      <c r="I7" s="51" t="n">
        <f aca="false">I$5-Model!$C$19-$A7*Model!$C$24*Model!$C$25</f>
        <v>38.925</v>
      </c>
    </row>
    <row r="8" customFormat="false" ht="15" hidden="false" customHeight="false" outlineLevel="0" collapsed="false">
      <c r="A8" s="20" t="n">
        <v>15</v>
      </c>
      <c r="B8" s="51" t="n">
        <f aca="false">B$5-Model!$C$19-$A8*Model!$C$24*Model!$C$25</f>
        <v>-5.0125</v>
      </c>
      <c r="C8" s="51" t="n">
        <f aca="false">C$5-Model!$C$19-$A8*Model!$C$24*Model!$C$25</f>
        <v>-0.0124999999999993</v>
      </c>
      <c r="D8" s="51" t="n">
        <f aca="false">D$5-Model!$C$19-$A8*Model!$C$24*Model!$C$25</f>
        <v>4.9875</v>
      </c>
      <c r="E8" s="51" t="n">
        <f aca="false">E$5-Model!$C$19-$A8*Model!$C$24*Model!$C$25</f>
        <v>9.9875</v>
      </c>
      <c r="F8" s="51" t="n">
        <f aca="false">F$5-Model!$C$19-$A8*Model!$C$24*Model!$C$25</f>
        <v>14.9875</v>
      </c>
      <c r="G8" s="51" t="n">
        <f aca="false">G$5-Model!$C$19-$A8*Model!$C$24*Model!$C$25</f>
        <v>19.9875</v>
      </c>
      <c r="H8" s="51" t="n">
        <f aca="false">H$5-Model!$C$19-$A8*Model!$C$24*Model!$C$25</f>
        <v>24.9875</v>
      </c>
      <c r="I8" s="51" t="n">
        <f aca="false">I$5-Model!$C$19-$A8*Model!$C$24*Model!$C$25</f>
        <v>34.9875</v>
      </c>
    </row>
    <row r="9" customFormat="false" ht="15" hidden="false" customHeight="false" outlineLevel="0" collapsed="false">
      <c r="A9" s="20" t="n">
        <v>20</v>
      </c>
      <c r="B9" s="51" t="n">
        <f aca="false">B$5-Model!$C$19-$A9*Model!$C$24*Model!$C$25</f>
        <v>-8.95</v>
      </c>
      <c r="C9" s="51" t="n">
        <f aca="false">C$5-Model!$C$19-$A9*Model!$C$24*Model!$C$25</f>
        <v>-3.95</v>
      </c>
      <c r="D9" s="51" t="n">
        <f aca="false">D$5-Model!$C$19-$A9*Model!$C$24*Model!$C$25</f>
        <v>1.05</v>
      </c>
      <c r="E9" s="51" t="n">
        <f aca="false">E$5-Model!$C$19-$A9*Model!$C$24*Model!$C$25</f>
        <v>6.05</v>
      </c>
      <c r="F9" s="51" t="n">
        <f aca="false">F$5-Model!$C$19-$A9*Model!$C$24*Model!$C$25</f>
        <v>11.05</v>
      </c>
      <c r="G9" s="51" t="n">
        <f aca="false">G$5-Model!$C$19-$A9*Model!$C$24*Model!$C$25</f>
        <v>16.05</v>
      </c>
      <c r="H9" s="51" t="n">
        <f aca="false">H$5-Model!$C$19-$A9*Model!$C$24*Model!$C$25</f>
        <v>21.05</v>
      </c>
      <c r="I9" s="51" t="n">
        <f aca="false">I$5-Model!$C$19-$A9*Model!$C$24*Model!$C$25</f>
        <v>31.05</v>
      </c>
    </row>
    <row r="10" customFormat="false" ht="15" hidden="false" customHeight="false" outlineLevel="0" collapsed="false">
      <c r="A10" s="20" t="n">
        <v>25</v>
      </c>
      <c r="B10" s="51" t="n">
        <f aca="false">B$5-Model!$C$19-$A10*Model!$C$24*Model!$C$25</f>
        <v>-12.8875</v>
      </c>
      <c r="C10" s="51" t="n">
        <f aca="false">C$5-Model!$C$19-$A10*Model!$C$24*Model!$C$25</f>
        <v>-7.8875</v>
      </c>
      <c r="D10" s="51" t="n">
        <f aca="false">D$5-Model!$C$19-$A10*Model!$C$24*Model!$C$25</f>
        <v>-2.8875</v>
      </c>
      <c r="E10" s="51" t="n">
        <f aca="false">E$5-Model!$C$19-$A10*Model!$C$24*Model!$C$25</f>
        <v>2.1125</v>
      </c>
      <c r="F10" s="51" t="n">
        <f aca="false">F$5-Model!$C$19-$A10*Model!$C$24*Model!$C$25</f>
        <v>7.1125</v>
      </c>
      <c r="G10" s="51" t="n">
        <f aca="false">G$5-Model!$C$19-$A10*Model!$C$24*Model!$C$25</f>
        <v>12.1125</v>
      </c>
      <c r="H10" s="51" t="n">
        <f aca="false">H$5-Model!$C$19-$A10*Model!$C$24*Model!$C$25</f>
        <v>17.1125</v>
      </c>
      <c r="I10" s="51" t="n">
        <f aca="false">I$5-Model!$C$19-$A10*Model!$C$24*Model!$C$25</f>
        <v>27.1125</v>
      </c>
    </row>
    <row r="11" customFormat="false" ht="15" hidden="false" customHeight="false" outlineLevel="0" collapsed="false">
      <c r="A11" s="20" t="n">
        <v>30</v>
      </c>
      <c r="B11" s="51" t="n">
        <f aca="false">B$5-Model!$C$19-$A11*Model!$C$24*Model!$C$25</f>
        <v>-16.825</v>
      </c>
      <c r="C11" s="51" t="n">
        <f aca="false">C$5-Model!$C$19-$A11*Model!$C$24*Model!$C$25</f>
        <v>-11.825</v>
      </c>
      <c r="D11" s="51" t="n">
        <f aca="false">D$5-Model!$C$19-$A11*Model!$C$24*Model!$C$25</f>
        <v>-6.825</v>
      </c>
      <c r="E11" s="51" t="n">
        <f aca="false">E$5-Model!$C$19-$A11*Model!$C$24*Model!$C$25</f>
        <v>-1.825</v>
      </c>
      <c r="F11" s="51" t="n">
        <f aca="false">F$5-Model!$C$19-$A11*Model!$C$24*Model!$C$25</f>
        <v>3.175</v>
      </c>
      <c r="G11" s="51" t="n">
        <f aca="false">G$5-Model!$C$19-$A11*Model!$C$24*Model!$C$25</f>
        <v>8.175</v>
      </c>
      <c r="H11" s="51" t="n">
        <f aca="false">H$5-Model!$C$19-$A11*Model!$C$24*Model!$C$25</f>
        <v>13.175</v>
      </c>
      <c r="I11" s="51" t="n">
        <f aca="false">I$5-Model!$C$19-$A11*Model!$C$24*Model!$C$25</f>
        <v>23.175</v>
      </c>
    </row>
    <row r="12" customFormat="false" ht="15" hidden="false" customHeight="false" outlineLevel="0" collapsed="false">
      <c r="A12" s="20" t="n">
        <v>40</v>
      </c>
      <c r="B12" s="51" t="n">
        <f aca="false">B$5-Model!$C$19-$A12*Model!$C$24*Model!$C$25</f>
        <v>-24.7</v>
      </c>
      <c r="C12" s="51" t="n">
        <f aca="false">C$5-Model!$C$19-$A12*Model!$C$24*Model!$C$25</f>
        <v>-19.7</v>
      </c>
      <c r="D12" s="51" t="n">
        <f aca="false">D$5-Model!$C$19-$A12*Model!$C$24*Model!$C$25</f>
        <v>-14.7</v>
      </c>
      <c r="E12" s="51" t="n">
        <f aca="false">E$5-Model!$C$19-$A12*Model!$C$24*Model!$C$25</f>
        <v>-9.7</v>
      </c>
      <c r="F12" s="51" t="n">
        <f aca="false">F$5-Model!$C$19-$A12*Model!$C$24*Model!$C$25</f>
        <v>-4.7</v>
      </c>
      <c r="G12" s="51" t="n">
        <f aca="false">G$5-Model!$C$19-$A12*Model!$C$24*Model!$C$25</f>
        <v>0.300000000000001</v>
      </c>
      <c r="H12" s="51" t="n">
        <f aca="false">H$5-Model!$C$19-$A12*Model!$C$24*Model!$C$25</f>
        <v>5.3</v>
      </c>
      <c r="I12" s="51" t="n">
        <f aca="false">I$5-Model!$C$19-$A12*Model!$C$24*Model!$C$25</f>
        <v>15.3</v>
      </c>
    </row>
    <row r="13" customFormat="false" ht="15" hidden="false" customHeight="false" outlineLevel="0" collapsed="false">
      <c r="A13" s="20" t="n">
        <v>60</v>
      </c>
      <c r="B13" s="51" t="n">
        <f aca="false">B$5-Model!$C$19-$A13*Model!$C$24*Model!$C$25</f>
        <v>-40.45</v>
      </c>
      <c r="C13" s="51" t="n">
        <f aca="false">C$5-Model!$C$19-$A13*Model!$C$24*Model!$C$25</f>
        <v>-35.45</v>
      </c>
      <c r="D13" s="51" t="n">
        <f aca="false">D$5-Model!$C$19-$A13*Model!$C$24*Model!$C$25</f>
        <v>-30.45</v>
      </c>
      <c r="E13" s="51" t="n">
        <f aca="false">E$5-Model!$C$19-$A13*Model!$C$24*Model!$C$25</f>
        <v>-25.45</v>
      </c>
      <c r="F13" s="51" t="n">
        <f aca="false">F$5-Model!$C$19-$A13*Model!$C$24*Model!$C$25</f>
        <v>-20.45</v>
      </c>
      <c r="G13" s="51" t="n">
        <f aca="false">G$5-Model!$C$19-$A13*Model!$C$24*Model!$C$25</f>
        <v>-15.45</v>
      </c>
      <c r="H13" s="51" t="n">
        <f aca="false">H$5-Model!$C$19-$A13*Model!$C$24*Model!$C$25</f>
        <v>-10.45</v>
      </c>
      <c r="I13" s="51" t="n">
        <f aca="false">I$5-Model!$C$19-$A13*Model!$C$24*Model!$C$25</f>
        <v>-0.450000000000003</v>
      </c>
    </row>
    <row r="14" customFormat="false" ht="15" hidden="false" customHeight="false" outlineLevel="0" collapsed="false">
      <c r="A14" s="52" t="n">
        <v>95</v>
      </c>
      <c r="B14" s="51" t="n">
        <f aca="false">B$5-Model!$C$19-$A14*Model!$C$24*Model!$C$25</f>
        <v>-68.0125</v>
      </c>
      <c r="C14" s="51" t="n">
        <f aca="false">C$5-Model!$C$19-$A14*Model!$C$24*Model!$C$25</f>
        <v>-63.0125</v>
      </c>
      <c r="D14" s="51" t="n">
        <f aca="false">D$5-Model!$C$19-$A14*Model!$C$24*Model!$C$25</f>
        <v>-58.0125</v>
      </c>
      <c r="E14" s="51" t="n">
        <f aca="false">E$5-Model!$C$19-$A14*Model!$C$24*Model!$C$25</f>
        <v>-53.0125</v>
      </c>
      <c r="F14" s="51" t="n">
        <f aca="false">F$5-Model!$C$19-$A14*Model!$C$24*Model!$C$25</f>
        <v>-48.0125</v>
      </c>
      <c r="G14" s="51" t="n">
        <f aca="false">G$5-Model!$C$19-$A14*Model!$C$24*Model!$C$25</f>
        <v>-43.0125</v>
      </c>
      <c r="H14" s="51" t="n">
        <f aca="false">H$5-Model!$C$19-$A14*Model!$C$24*Model!$C$25</f>
        <v>-38.0125</v>
      </c>
      <c r="I14" s="51" t="n">
        <f aca="false">I$5-Model!$C$19-$A14*Model!$C$24*Model!$C$25</f>
        <v>-28.0125</v>
      </c>
    </row>
    <row r="16" customFormat="false" ht="15" hidden="false" customHeight="false" outlineLevel="0" collapsed="false">
      <c r="A16" s="2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2026-07-26T12:35:08Z</dcterms:created>
  <dc:creator>openpyxl</dc:creator>
  <dc:description/>
  <dc:language>en-US</dc:language>
  <cp:lastModifiedBy/>
  <dcterms:modified xsi:type="dcterms:W3CDTF">2026-07-26T12:35:08Z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