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Model" sheetId="3" state="visible" r:id="rId3"/>
    <sheet name="Scale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(#,##0.0);-"/>
    <numFmt numFmtId="165" formatCode="$#,##0.00"/>
    <numFmt numFmtId="166" formatCode="0.0%;(0.0%);-"/>
    <numFmt numFmtId="167" formatCode="₹#,##0.00;(₹#,##0.00);-"/>
    <numFmt numFmtId="168" formatCode="₹#,##0;(₹#,##0);-"/>
    <numFmt numFmtId="169" formatCode="#,##0;(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5" fontId="5" fillId="3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167" fontId="5" fillId="3" borderId="1" applyAlignment="1" pivotButton="0" quotePrefix="0" xfId="0">
      <alignment horizontal="center"/>
    </xf>
    <xf numFmtId="168" fontId="5" fillId="0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0" fontId="3" fillId="4" borderId="1" pivotButton="0" quotePrefix="0" xfId="0"/>
    <xf numFmtId="0" fontId="0" fillId="4" borderId="1" pivotButton="0" quotePrefix="0" xfId="0"/>
    <xf numFmtId="0" fontId="7" fillId="0" borderId="0" pivotButton="0" quotePrefix="0" xfId="0"/>
    <xf numFmtId="167" fontId="4" fillId="0" borderId="1" pivotButton="0" quotePrefix="0" xfId="0"/>
    <xf numFmtId="0" fontId="3" fillId="6" borderId="1" pivotButton="0" quotePrefix="0" xfId="0"/>
    <xf numFmtId="167" fontId="3" fillId="6" borderId="1" pivotButton="0" quotePrefix="0" xfId="0"/>
    <xf numFmtId="0" fontId="7" fillId="6" borderId="1" pivotButton="0" quotePrefix="0" xfId="0"/>
    <xf numFmtId="0" fontId="3" fillId="0" borderId="1" pivotButton="0" quotePrefix="0" xfId="0"/>
    <xf numFmtId="167" fontId="3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166" fontId="3" fillId="0" borderId="1" pivotButton="0" quotePrefix="0" xfId="0"/>
    <xf numFmtId="0" fontId="4" fillId="4" borderId="1" pivotButton="0" quotePrefix="0" xfId="0"/>
    <xf numFmtId="167" fontId="4" fillId="4" borderId="1" pivotButton="0" quotePrefix="0" xfId="0"/>
    <xf numFmtId="0" fontId="7" fillId="4" borderId="1" pivotButton="0" quotePrefix="0" xfId="0"/>
    <xf numFmtId="167" fontId="3" fillId="4" borderId="1" pivotButton="0" quotePrefix="0" xfId="0"/>
    <xf numFmtId="166" fontId="3" fillId="4" borderId="1" pivotButton="0" quotePrefix="0" xfId="0"/>
    <xf numFmtId="164" fontId="4" fillId="4" borderId="1" pivotButton="0" quotePrefix="0" xfId="0"/>
    <xf numFmtId="166" fontId="5" fillId="3" borderId="1" pivotButton="0" quotePrefix="0" xfId="0"/>
    <xf numFmtId="167" fontId="6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9" fontId="5" fillId="0" borderId="1" applyAlignment="1" pivotButton="0" quotePrefix="0" xfId="0">
      <alignment horizontal="center"/>
    </xf>
    <xf numFmtId="168" fontId="4" fillId="0" borderId="1" pivotButton="0" quotePrefix="0" xfId="0"/>
    <xf numFmtId="168" fontId="3" fillId="6" borderId="1" pivotButton="0" quotePrefix="0" xfId="0"/>
    <xf numFmtId="168" fontId="4" fillId="4" borderId="1" pivotButton="0" quotePrefix="0" xfId="0"/>
    <xf numFmtId="166" fontId="3" fillId="6" borderId="1" pivotButton="0" quotePrefix="0" xfId="0"/>
    <xf numFmtId="168" fontId="3" fillId="0" borderId="1" pivotButton="0" quotePrefix="0" xfId="0"/>
    <xf numFmtId="168" fontId="2" fillId="2" borderId="1" applyAlignment="1" pivotButton="0" quotePrefix="0" xfId="0">
      <alignment horizontal="center"/>
    </xf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AlarmX — Unit Economics Model (v0.6)</t>
        </is>
      </c>
    </row>
    <row r="2">
      <c r="A2" t="inlineStr"/>
    </row>
    <row r="3">
      <c r="A3" s="2" t="inlineStr">
        <is>
          <t>THE ONE IDEA IN THIS MODEL</t>
        </is>
      </c>
    </row>
    <row r="4">
      <c r="A4" s="2" t="inlineStr">
        <is>
          <t>The user is paid a SHARE OF AD REVENUE THAT HAS ALREADY ARRIVED.</t>
        </is>
      </c>
    </row>
    <row r="5">
      <c r="A5" s="3" t="inlineStr">
        <is>
          <t>Not a rate. Not a cap. A share of money already in the account.</t>
        </is>
      </c>
    </row>
    <row r="6">
      <c r="A6" t="inlineStr"/>
    </row>
    <row r="7">
      <c r="A7" s="3" t="inlineStr">
        <is>
          <t>Every rupee credited is backed by an ad impression the SERVER has verified.</t>
        </is>
      </c>
    </row>
    <row r="8">
      <c r="A8" s="3" t="inlineStr">
        <is>
          <t xml:space="preserve">  no ad served      -&gt; nothing credited, nothing owed</t>
        </is>
      </c>
    </row>
    <row r="9">
      <c r="A9" s="3" t="inlineStr">
        <is>
          <t xml:space="preserve">  eCPM halves       -&gt; payouts halve the same day, automatically</t>
        </is>
      </c>
    </row>
    <row r="10">
      <c r="A10" s="3" t="inlineStr">
        <is>
          <t xml:space="preserve">  fill drops        -&gt; payouts drop with it</t>
        </is>
      </c>
    </row>
    <row r="11">
      <c r="A11" s="3" t="inlineStr">
        <is>
          <t xml:space="preserve">  client claims a view the server did not see -&gt; not credited</t>
        </is>
      </c>
    </row>
    <row r="12">
      <c r="A12" t="inlineStr"/>
    </row>
    <row r="13">
      <c r="A13" s="2" t="inlineStr">
        <is>
          <t>This makes a loss on the reward line STRUCTURALLY IMPOSSIBLE, not merely</t>
        </is>
      </c>
    </row>
    <row r="14">
      <c r="A14" s="3" t="inlineStr">
        <is>
          <t>unlikely. There is no forecast to be wrong about, because nothing is</t>
        </is>
      </c>
    </row>
    <row r="15">
      <c r="A15" s="3" t="inlineStr">
        <is>
          <t>promised before the money exists.</t>
        </is>
      </c>
    </row>
    <row r="16">
      <c r="A16" t="inlineStr"/>
    </row>
    <row r="17">
      <c r="A17" s="3" t="inlineStr">
        <is>
          <t>Every earlier version failed the same way: a FIXED promise made against</t>
        </is>
      </c>
    </row>
    <row r="18">
      <c r="A18" s="3" t="inlineStr">
        <is>
          <t>VARIABLE revenue. Rs95/month. Rs0.50 a math. Rs2 a set. Each one was a</t>
        </is>
      </c>
    </row>
    <row r="19">
      <c r="A19" s="3" t="inlineStr">
        <is>
          <t>number chosen first and defended afterwards. This one cannot be wrong,</t>
        </is>
      </c>
    </row>
    <row r="20">
      <c r="A20" s="3" t="inlineStr">
        <is>
          <t>because it is a fraction of whatever actually turns up.</t>
        </is>
      </c>
    </row>
    <row r="21">
      <c r="A21" t="inlineStr"/>
    </row>
    <row r="22">
      <c r="A22" s="2" t="inlineStr">
        <is>
          <t>WHAT IT PAYS AND WHAT IT KEEPS</t>
        </is>
      </c>
    </row>
    <row r="23">
      <c r="A23" s="3" t="inlineStr">
        <is>
          <t xml:space="preserve">                        Conservative      Base   Optimistic</t>
        </is>
      </c>
    </row>
    <row r="24">
      <c r="A24" s="3" t="inlineStr">
        <is>
          <t xml:space="preserve">  Ad revenue                  Rs10.55   Rs32.38     Rs103.08</t>
        </is>
      </c>
    </row>
    <row r="25">
      <c r="A25" s="3" t="inlineStr">
        <is>
          <t xml:space="preserve">  Survey resale (retained)     Rs5.67   Rs10.25      Rs20.00</t>
        </is>
      </c>
    </row>
    <row r="26">
      <c r="A26" s="3" t="inlineStr">
        <is>
          <t xml:space="preserve">  User earns (60% tier)        Rs6.33   Rs19.43      Rs61.85</t>
        </is>
      </c>
    </row>
    <row r="27">
      <c r="A27" s="3" t="inlineStr">
        <is>
          <t xml:space="preserve">  Per active day               Rs0.32    Rs0.75       Rs2.06</t>
        </is>
      </c>
    </row>
    <row r="28">
      <c r="A28" s="2" t="inlineStr">
        <is>
          <t xml:space="preserve">  PROFIT                       Rs3.30   Rs19.03      Rs58.24</t>
        </is>
      </c>
    </row>
    <row r="29">
      <c r="A29" t="inlineStr"/>
    </row>
    <row r="30">
      <c r="A30" s="3" t="inlineStr">
        <is>
          <t>Profit is positive in EVERY column at the HIGHEST share tier. The Model</t>
        </is>
      </c>
    </row>
    <row r="31">
      <c r="A31" s="3" t="inlineStr">
        <is>
          <t>tab also shows profit if eCPM halved - still positive everywhere.</t>
        </is>
      </c>
    </row>
    <row r="32">
      <c r="A32" t="inlineStr"/>
    </row>
    <row r="33">
      <c r="A33" s="2" t="inlineStr">
        <is>
          <t>THE SHARE LADDER</t>
        </is>
      </c>
    </row>
    <row r="34">
      <c r="A34" s="3" t="inlineStr">
        <is>
          <t xml:space="preserve">  days 1-6      50%</t>
        </is>
      </c>
    </row>
    <row r="35">
      <c r="A35" s="3" t="inlineStr">
        <is>
          <t xml:space="preserve">  day 7+        55%      streak reward that costs nothing already unearned</t>
        </is>
      </c>
    </row>
    <row r="36">
      <c r="A36" s="3" t="inlineStr">
        <is>
          <t xml:space="preserve">  day 30+       60%      the worst case, and what profit is tested against</t>
        </is>
      </c>
    </row>
    <row r="37">
      <c r="A37" s="3" t="inlineStr">
        <is>
          <t xml:space="preserve">  until Rs10    70%      acquisition spend, gets the user paid fast</t>
        </is>
      </c>
    </row>
    <row r="38">
      <c r="A38" t="inlineStr"/>
    </row>
    <row r="39">
      <c r="A39" s="2" t="inlineStr">
        <is>
          <t>THE MONTHLY CAP IS GONE. Replaced by a ceiling of 20 credited ad views a</t>
        </is>
      </c>
    </row>
    <row r="40">
      <c r="A40" s="3" t="inlineStr">
        <is>
          <t>day. A monthly cap made the app go dead once a user hit it - earning</t>
        </is>
      </c>
    </row>
    <row r="41">
      <c r="A41" s="3" t="inlineStr">
        <is>
          <t>nothing for the rest of the cycle, which is the opposite of retention.</t>
        </is>
      </c>
    </row>
    <row r="42">
      <c r="A42" s="3" t="inlineStr">
        <is>
          <t>A daily ceiling bounds fraud without ever doing that.</t>
        </is>
      </c>
    </row>
    <row r="43">
      <c r="A43" t="inlineStr"/>
    </row>
    <row r="44">
      <c r="A44" s="2" t="inlineStr">
        <is>
          <t>THE BUILD GATE</t>
        </is>
      </c>
    </row>
    <row r="45">
      <c r="A45" s="3" t="inlineStr">
        <is>
          <t>build_model.py refuses to write this file if any scenario, at any share</t>
        </is>
      </c>
    </row>
    <row r="46">
      <c r="A46" s="3" t="inlineStr">
        <is>
          <t>tier, at half or a quarter of the assumed eCPM, would lose money.</t>
        </is>
      </c>
    </row>
    <row r="47">
      <c r="A47" s="3" t="inlineStr">
        <is>
          <t>36 combinations, checked on every build. The gate has been tested by</t>
        </is>
      </c>
    </row>
    <row r="48">
      <c r="A48" s="3" t="inlineStr">
        <is>
          <t>deliberately breaking it.</t>
        </is>
      </c>
    </row>
    <row r="49">
      <c r="A49" t="inlineStr"/>
    </row>
    <row r="50">
      <c r="A50" s="2" t="inlineStr">
        <is>
          <t>STILL THE WEAKEST INPUTS</t>
        </is>
      </c>
    </row>
    <row r="51">
      <c r="A51" s="3" t="inlineStr">
        <is>
          <t xml:space="preserve">  1. Average sets completed per day. The revenue case leans on it and it</t>
        </is>
      </c>
    </row>
    <row r="52">
      <c r="A52" s="3" t="inlineStr">
        <is>
          <t xml:space="preserve">     has never been measured. It is deliberately the assumption carrying</t>
        </is>
      </c>
    </row>
    <row r="53">
      <c r="A53" s="3" t="inlineStr">
        <is>
          <t xml:space="preserve">     the uncertainty, rather than hiding it in a rate.</t>
        </is>
      </c>
    </row>
    <row r="54">
      <c r="A54" s="3" t="inlineStr">
        <is>
          <t xml:space="preserve">  2. Rewarded eCPM and fill rate for India Android. Published benchmarks,</t>
        </is>
      </c>
    </row>
    <row r="55">
      <c r="A55" s="3" t="inlineStr">
        <is>
          <t xml:space="preserve">     not measurements. Open a real AdMob account before trusting Base.</t>
        </is>
      </c>
    </row>
    <row r="56">
      <c r="A56" s="3" t="inlineStr">
        <is>
          <t xml:space="preserve">  3. Survey resale values. Placeholders. But note: the user is paid from</t>
        </is>
      </c>
    </row>
    <row r="57">
      <c r="A57" s="3" t="inlineStr">
        <is>
          <t xml:space="preserve">     AD REVENUE ONLY, so a zero survey line reduces profit, never the</t>
        </is>
      </c>
    </row>
    <row r="58">
      <c r="A58" s="3" t="inlineStr">
        <is>
          <t xml:space="preserve">     payout, and never below zero.</t>
        </is>
      </c>
    </row>
    <row r="59">
      <c r="A59" t="inlineStr"/>
    </row>
    <row r="60">
      <c r="A60" s="2" t="inlineStr">
        <is>
          <t>What changed in v0.4 — deliberately, almost nothing</t>
        </is>
      </c>
    </row>
    <row r="61">
      <c r="A61" s="3" t="inlineStr">
        <is>
          <t>v0.4 adds the regional calendar and the 4x2 home-screen widget (PRD 16).</t>
        </is>
      </c>
    </row>
    <row r="62">
      <c r="A62" s="3" t="inlineStr">
        <is>
          <t>It pays no cash, so it does not touch the cap. Two accounting notes:</t>
        </is>
      </c>
    </row>
    <row r="63">
      <c r="A63" s="3" t="inlineStr">
        <is>
          <t xml:space="preserve">  - Swiss Ephemeris Professional licence: a ONE-TIME CAPITALISED COST, paid</t>
        </is>
      </c>
    </row>
    <row r="64">
      <c r="A64" s="3" t="inlineStr">
        <is>
          <t xml:space="preserve">    per project before distribution. It is not a per-user cost and must not be</t>
        </is>
      </c>
    </row>
    <row r="65">
      <c r="A65" s="3" t="inlineStr">
        <is>
          <t xml:space="preserve">    amortised into the cap. Get the current fee from Astrodienst before booking it.</t>
        </is>
      </c>
    </row>
    <row r="66">
      <c r="A66" s="3" t="inlineStr">
        <is>
          <t xml:space="preserve">  - The widget MAY raise active days per month (Base assumes 26). That would</t>
        </is>
      </c>
    </row>
    <row r="67">
      <c r="A67" s="3" t="inlineStr">
        <is>
          <t xml:space="preserve">    raise revenue and therefore the cap. IT IS NOT BAKED IN, AND MUST NOT BE.</t>
        </is>
      </c>
    </row>
    <row r="68">
      <c r="A68" s="3" t="inlineStr">
        <is>
          <t xml:space="preserve">    Raising a revenue assumption on the strength of an unshipped feature is how</t>
        </is>
      </c>
    </row>
    <row r="69">
      <c r="A69" s="3" t="inlineStr">
        <is>
          <t xml:space="preserve">    the Rs95 design happened. Re-measure after 60 days of live data, then decide.</t>
        </is>
      </c>
    </row>
    <row r="70">
      <c r="A70" t="inlineStr"/>
    </row>
    <row r="71">
      <c r="A71" s="2" t="inlineStr">
        <is>
          <t>What changed in v0.3</t>
        </is>
      </c>
    </row>
    <row r="72">
      <c r="A72" s="3" t="inlineStr">
        <is>
          <t>The first payout drops from Rs30 to Rs10. That is not free:</t>
        </is>
      </c>
    </row>
    <row r="73">
      <c r="A73" s="3" t="inlineStr">
        <is>
          <t xml:space="preserve">  - Fewer users churn without ever withdrawing, so BREAKAGE FALLS.</t>
        </is>
      </c>
    </row>
    <row r="74">
      <c r="A74" s="3" t="inlineStr">
        <is>
          <t xml:space="preserve">  - Lower breakage means more of what is accrued is actually paid out.</t>
        </is>
      </c>
    </row>
    <row r="75">
      <c r="A75" s="3" t="inlineStr">
        <is>
          <t xml:space="preserve">  - Higher real cash cost means the SUSTAINABLE CAP FALLS.</t>
        </is>
      </c>
    </row>
    <row r="76">
      <c r="A76" s="3" t="inlineStr">
        <is>
          <t>The Model tab quantifies exactly how much, and compares against v0.2.</t>
        </is>
      </c>
    </row>
    <row r="77">
      <c r="A77" t="inlineStr"/>
    </row>
    <row r="78">
      <c r="A78" s="2" t="inlineStr">
        <is>
          <t>The first payout is booked as ACQUISITION, not as a reward.</t>
        </is>
      </c>
    </row>
    <row r="79">
      <c r="A79" s="3" t="inlineStr">
        <is>
          <t>Rs10 plus the payout fee buys the 'it actually paid me' moment, which is a</t>
        </is>
      </c>
    </row>
    <row r="80">
      <c r="A80" s="3" t="inlineStr">
        <is>
          <t>marketing outcome. The same rupees spent on an install ad would buy far less.</t>
        </is>
      </c>
    </row>
    <row r="81">
      <c r="A81" s="3" t="inlineStr">
        <is>
          <t>Charging it to the reward budget would wrongly depress the cap in every later</t>
        </is>
      </c>
    </row>
    <row r="82">
      <c r="A82" s="3" t="inlineStr">
        <is>
          <t>month. It sits in its own block on the Model tab, compared against install cost.</t>
        </is>
      </c>
    </row>
    <row r="83">
      <c r="A83" t="inlineStr"/>
    </row>
    <row r="84">
      <c r="A84" s="2" t="inlineStr">
        <is>
          <t>How to use it</t>
        </is>
      </c>
    </row>
    <row r="85">
      <c r="A85" s="3" t="inlineStr">
        <is>
          <t>1. Assumptions tab. Edit ONLY the blue cells.</t>
        </is>
      </c>
    </row>
    <row r="86">
      <c r="A86" s="3" t="inlineStr">
        <is>
          <t>2. Three scenarios: Conservative / Base / Optimistic. Base is the planning case.</t>
        </is>
      </c>
    </row>
    <row r="87">
      <c r="A87" s="3" t="inlineStr">
        <is>
          <t>3. Model computes the cap per scenario. Nothing there is typed by hand.</t>
        </is>
      </c>
    </row>
    <row r="88">
      <c r="A88" s="3" t="inlineStr">
        <is>
          <t>4. Scale shows monthly P&amp;L at 10k / 100k / 1M MAU. Set your cap in the yellow cell.</t>
        </is>
      </c>
    </row>
    <row r="89">
      <c r="A89" s="3" t="inlineStr">
        <is>
          <t>5. Sensitivity grids cap against revenue per user.</t>
        </is>
      </c>
    </row>
    <row r="90">
      <c r="A90" t="inlineStr"/>
    </row>
    <row r="91">
      <c r="A91" s="2" t="inlineStr">
        <is>
          <t>Colour key</t>
        </is>
      </c>
    </row>
    <row r="92">
      <c r="A92" s="4" t="inlineStr">
        <is>
          <t>Blue text = hardcoded input you can edit</t>
        </is>
      </c>
    </row>
    <row r="93">
      <c r="A93" s="3" t="inlineStr">
        <is>
          <t>Black text = formula, do not overwrite</t>
        </is>
      </c>
    </row>
    <row r="94">
      <c r="A94" s="5" t="inlineStr">
        <is>
          <t>Green text = link to another sheet</t>
        </is>
      </c>
    </row>
    <row r="95">
      <c r="A95" s="6" t="inlineStr">
        <is>
          <t>Yellow fill = load-bearing assumption</t>
        </is>
      </c>
    </row>
    <row r="96">
      <c r="A96" s="7" t="inlineStr">
        <is>
          <t>Orange fill = acquisition, deliberately outside the reward budget</t>
        </is>
      </c>
    </row>
    <row r="97">
      <c r="A97" t="inlineStr"/>
    </row>
    <row r="98">
      <c r="A98" s="2" t="inlineStr">
        <is>
          <t>Sources</t>
        </is>
      </c>
    </row>
    <row r="99">
      <c r="A99" s="3" t="inlineStr">
        <is>
          <t>Rewarded video eCPM: India Android rewarded benchmarked around $1.50; India across</t>
        </is>
      </c>
    </row>
    <row r="100">
      <c r="A100" s="3" t="inlineStr">
        <is>
          <t xml:space="preserve">  ad types spans $0.50-$2.00. Source: Coinis rewarded-video glossary; Business of Apps.</t>
        </is>
      </c>
    </row>
    <row r="101">
      <c r="A101" s="3" t="inlineStr">
        <is>
          <t>UPI payout fee: RazorpayX Rs2-5 per payout, UPI at the low end. Verify the live</t>
        </is>
      </c>
    </row>
    <row r="102">
      <c r="A102" s="3" t="inlineStr">
        <is>
          <t xml:space="preserve">  price card before committing.</t>
        </is>
      </c>
    </row>
    <row r="103">
      <c r="A103" s="3" t="inlineStr">
        <is>
          <t>Survey resale values: NOT SOURCED. Placeholders, and the least reliable inputs here.</t>
        </is>
      </c>
    </row>
    <row r="104">
      <c r="A104" s="3" t="inlineStr">
        <is>
          <t xml:space="preserve">  Validate with a real data buyer before counting this revenue.</t>
        </is>
      </c>
    </row>
    <row r="105">
      <c r="A105" s="3" t="inlineStr">
        <is>
          <t>Breakage and share-reaching-first-payout: assumptions, not measured. Revisit after</t>
        </is>
      </c>
    </row>
    <row r="106">
      <c r="A106" s="3" t="inlineStr">
        <is>
          <t xml:space="preserve">  60 days of live data - they move the cap more than almost anything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64" customWidth="1" min="6" max="6"/>
  </cols>
  <sheetData>
    <row r="1">
      <c r="A1" s="1" t="inlineStr">
        <is>
          <t>Assumptions — edit the blue cells only</t>
        </is>
      </c>
    </row>
    <row r="3">
      <c r="A3" s="8" t="inlineStr">
        <is>
          <t>Input</t>
        </is>
      </c>
      <c r="B3" s="8" t="inlineStr">
        <is>
          <t>Conservative</t>
        </is>
      </c>
      <c r="C3" s="8" t="inlineStr">
        <is>
          <t>Base</t>
        </is>
      </c>
      <c r="D3" s="8" t="inlineStr">
        <is>
          <t>Optimistic</t>
        </is>
      </c>
      <c r="E3" s="8" t="inlineStr">
        <is>
          <t>Unit</t>
        </is>
      </c>
      <c r="F3" s="8" t="inlineStr">
        <is>
          <t>Source / note</t>
        </is>
      </c>
    </row>
    <row r="4">
      <c r="A4" s="9" t="inlineStr">
        <is>
          <t>GLOBAL</t>
        </is>
      </c>
      <c r="B4" s="10" t="n"/>
      <c r="C4" s="10" t="n"/>
      <c r="D4" s="10" t="n"/>
      <c r="E4" s="10" t="n"/>
      <c r="F4" s="10" t="n"/>
    </row>
    <row r="5">
      <c r="A5" s="11" t="inlineStr">
        <is>
          <t>USD / INR exchange rate</t>
        </is>
      </c>
      <c r="B5" s="12" t="n">
        <v>88</v>
      </c>
      <c r="C5" s="12" t="n">
        <v>88</v>
      </c>
      <c r="D5" s="12" t="n">
        <v>88</v>
      </c>
      <c r="E5" s="13" t="inlineStr">
        <is>
          <t>₹ per $</t>
        </is>
      </c>
      <c r="F5" s="14" t="inlineStr">
        <is>
          <t>Assumption, 2026</t>
        </is>
      </c>
    </row>
    <row r="6">
      <c r="A6" s="11" t="inlineStr">
        <is>
          <t>Active days per user per month</t>
        </is>
      </c>
      <c r="B6" s="12" t="n">
        <v>20</v>
      </c>
      <c r="C6" s="12" t="n">
        <v>26</v>
      </c>
      <c r="D6" s="12" t="n">
        <v>30</v>
      </c>
      <c r="E6" s="13" t="inlineStr">
        <is>
          <t>days</t>
        </is>
      </c>
      <c r="F6" s="14" t="inlineStr">
        <is>
          <t>Days the user opens the app and completes an alarm</t>
        </is>
      </c>
    </row>
    <row r="7">
      <c r="A7" s="9" t="inlineStr">
        <is>
          <t>AD REVENUE</t>
        </is>
      </c>
      <c r="B7" s="10" t="n"/>
      <c r="C7" s="10" t="n"/>
      <c r="D7" s="10" t="n"/>
      <c r="E7" s="10" t="n"/>
      <c r="F7" s="10" t="n"/>
    </row>
    <row r="8">
      <c r="A8" s="11" t="inlineStr">
        <is>
          <t>Rewarded video eCPM</t>
        </is>
      </c>
      <c r="B8" s="15" t="n">
        <v>1</v>
      </c>
      <c r="C8" s="15" t="n">
        <v>1.5</v>
      </c>
      <c r="D8" s="15" t="n">
        <v>2.5</v>
      </c>
      <c r="E8" s="13" t="inlineStr">
        <is>
          <t>$ per 1,000</t>
        </is>
      </c>
      <c r="F8" s="14" t="inlineStr">
        <is>
          <t>India Android rewarded ~$1.50; India range $0.50–$2.00</t>
        </is>
      </c>
    </row>
    <row r="9">
      <c r="A9" s="11" t="inlineStr">
        <is>
          <t>Rewarded videos per active day</t>
        </is>
      </c>
      <c r="B9" s="12" t="n">
        <v>3</v>
      </c>
      <c r="C9" s="12" t="n">
        <v>4</v>
      </c>
      <c r="D9" s="12" t="n">
        <v>5</v>
      </c>
      <c r="E9" s="13" t="inlineStr">
        <is>
          <t>views</t>
        </is>
      </c>
      <c r="F9" s="14" t="inlineStr">
        <is>
          <t>v0.5 — raised from 2/3/4. Opt-in, and worth 3.8x an interstitial</t>
        </is>
      </c>
    </row>
    <row r="10">
      <c r="A10" s="11" t="inlineStr">
        <is>
          <t>Ad fill rate</t>
        </is>
      </c>
      <c r="B10" s="16" t="n">
        <v>0.7</v>
      </c>
      <c r="C10" s="16" t="n">
        <v>0.8</v>
      </c>
      <c r="D10" s="16" t="n">
        <v>0.9</v>
      </c>
      <c r="E10" s="13" t="inlineStr">
        <is>
          <t>%</t>
        </is>
      </c>
      <c r="F10" s="14" t="inlineStr">
        <is>
          <t>Share of ad requests returning a paying ad in India</t>
        </is>
      </c>
    </row>
    <row r="11">
      <c r="A11" s="11" t="inlineStr">
        <is>
          <t>Interstitial eCPM</t>
        </is>
      </c>
      <c r="B11" s="17" t="n">
        <v>0.25</v>
      </c>
      <c r="C11" s="17" t="n">
        <v>0.4</v>
      </c>
      <c r="D11" s="17" t="n">
        <v>0.7</v>
      </c>
      <c r="E11" s="13" t="inlineStr">
        <is>
          <t>$ per 1,000</t>
        </is>
      </c>
      <c r="F11" s="14" t="inlineStr">
        <is>
          <t>Materially below rewarded video — 27% of it at base</t>
        </is>
      </c>
    </row>
    <row r="12">
      <c r="A12" s="11" t="inlineStr">
        <is>
          <t>Interstitials per active day</t>
        </is>
      </c>
      <c r="B12" s="12" t="n">
        <v>3</v>
      </c>
      <c r="C12" s="12" t="n">
        <v>4</v>
      </c>
      <c r="D12" s="12" t="n">
        <v>6</v>
      </c>
      <c r="E12" s="13" t="inlineStr">
        <is>
          <t>views</t>
        </is>
      </c>
      <c r="F12" s="14" t="inlineStr">
        <is>
          <t>Allowed slots only — NONE in the alarm dismissal path, PRD 4.6</t>
        </is>
      </c>
    </row>
    <row r="13">
      <c r="A13" s="11" t="inlineStr">
        <is>
          <t>Banner revenue</t>
        </is>
      </c>
      <c r="B13" s="18" t="n">
        <v>1</v>
      </c>
      <c r="C13" s="18" t="n">
        <v>2</v>
      </c>
      <c r="D13" s="18" t="n">
        <v>4</v>
      </c>
      <c r="E13" s="13" t="inlineStr">
        <is>
          <t>₹/user/month</t>
        </is>
      </c>
      <c r="F13" s="14" t="inlineStr">
        <is>
          <t>Banners earn very little in India</t>
        </is>
      </c>
    </row>
    <row r="14">
      <c r="A14" s="9" t="inlineStr">
        <is>
          <t>SURVEY DATA RESALE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One-time profile resale value</t>
        </is>
      </c>
      <c r="B15" s="19" t="n">
        <v>8</v>
      </c>
      <c r="C15" s="19" t="n">
        <v>15</v>
      </c>
      <c r="D15" s="19" t="n">
        <v>30</v>
      </c>
      <c r="E15" s="13" t="inlineStr">
        <is>
          <t>₹ per user</t>
        </is>
      </c>
      <c r="F15" s="14" t="inlineStr">
        <is>
          <t>PLACEHOLDER — validate with a real buyer</t>
        </is>
      </c>
    </row>
    <row r="16">
      <c r="A16" s="11" t="inlineStr">
        <is>
          <t>Expected user lifetime</t>
        </is>
      </c>
      <c r="B16" s="12" t="n">
        <v>3</v>
      </c>
      <c r="C16" s="12" t="n">
        <v>4</v>
      </c>
      <c r="D16" s="12" t="n">
        <v>6</v>
      </c>
      <c r="E16" s="13" t="inlineStr">
        <is>
          <t>months</t>
        </is>
      </c>
      <c r="F16" s="14" t="inlineStr">
        <is>
          <t>Amortises the one-time value and the acquisition cost</t>
        </is>
      </c>
    </row>
    <row r="17">
      <c r="A17" s="11" t="inlineStr">
        <is>
          <t>Daily drip batch value</t>
        </is>
      </c>
      <c r="B17" s="19" t="n">
        <v>0.15</v>
      </c>
      <c r="C17" s="19" t="n">
        <v>0.25</v>
      </c>
      <c r="D17" s="19" t="n">
        <v>0.5</v>
      </c>
      <c r="E17" s="13" t="inlineStr">
        <is>
          <t>₹ per batch</t>
        </is>
      </c>
      <c r="F17" s="14" t="inlineStr">
        <is>
          <t>PLACEHOLDER — 2–3 questions answered per day</t>
        </is>
      </c>
    </row>
    <row r="18">
      <c r="A18" s="9" t="inlineStr">
        <is>
          <t>SPONSORED QR — DORMANT</t>
        </is>
      </c>
      <c r="B18" s="10" t="n"/>
      <c r="C18" s="10" t="n"/>
      <c r="D18" s="10" t="n"/>
      <c r="E18" s="10" t="n"/>
      <c r="F18" s="10" t="n"/>
    </row>
    <row r="19">
      <c r="A19" s="11" t="inlineStr">
        <is>
          <t>Sponsored scans per active day</t>
        </is>
      </c>
      <c r="B19" s="12" t="n">
        <v>0</v>
      </c>
      <c r="C19" s="12" t="n">
        <v>0</v>
      </c>
      <c r="D19" s="12" t="n">
        <v>0</v>
      </c>
      <c r="E19" s="13" t="inlineStr">
        <is>
          <t>scans</t>
        </is>
      </c>
      <c r="F19" s="14" t="inlineStr">
        <is>
          <t>ZERO until a brand signs. Rails built, switch off.</t>
        </is>
      </c>
    </row>
    <row r="20">
      <c r="A20" s="11" t="inlineStr">
        <is>
          <t>Brand-funded value per scan</t>
        </is>
      </c>
      <c r="B20" s="18" t="n">
        <v>0.5</v>
      </c>
      <c r="C20" s="18" t="n">
        <v>1</v>
      </c>
      <c r="D20" s="18" t="n">
        <v>2</v>
      </c>
      <c r="E20" s="13" t="inlineStr">
        <is>
          <t>₹ per scan</t>
        </is>
      </c>
      <c r="F20" s="14" t="inlineStr">
        <is>
          <t>Scenario only — no revenue while row 19 is zero</t>
        </is>
      </c>
    </row>
    <row r="21">
      <c r="A21" s="9" t="inlineStr">
        <is>
          <t>WITHDRAWAL THRESHOLDS</t>
        </is>
      </c>
      <c r="B21" s="10" t="n"/>
      <c r="C21" s="10" t="n"/>
      <c r="D21" s="10" t="n"/>
      <c r="E21" s="10" t="n"/>
      <c r="F21" s="10" t="n"/>
    </row>
    <row r="22">
      <c r="A22" s="11" t="inlineStr">
        <is>
          <t>First payout threshold</t>
        </is>
      </c>
      <c r="B22" s="20" t="n">
        <v>10</v>
      </c>
      <c r="C22" s="20" t="n">
        <v>10</v>
      </c>
      <c r="D22" s="20" t="n">
        <v>10</v>
      </c>
      <c r="E22" s="13" t="inlineStr">
        <is>
          <t>₹</t>
        </is>
      </c>
      <c r="F22" s="14" t="inlineStr">
        <is>
          <t>v0.3 decision — buys the first-payout trust moment</t>
        </is>
      </c>
    </row>
    <row r="23">
      <c r="A23" s="11" t="inlineStr">
        <is>
          <t>Subsequent payout threshold</t>
        </is>
      </c>
      <c r="B23" s="20" t="n">
        <v>30</v>
      </c>
      <c r="C23" s="20" t="n">
        <v>30</v>
      </c>
      <c r="D23" s="20" t="n">
        <v>30</v>
      </c>
      <c r="E23" s="13" t="inlineStr">
        <is>
          <t>₹</t>
        </is>
      </c>
      <c r="F23" s="14" t="inlineStr">
        <is>
          <t>Unchanged</t>
        </is>
      </c>
    </row>
    <row r="24">
      <c r="A24" s="11" t="inlineStr">
        <is>
          <t>Breakage at a ₹10 first payout</t>
        </is>
      </c>
      <c r="B24" s="21" t="n">
        <v>0.15</v>
      </c>
      <c r="C24" s="21" t="n">
        <v>0.25</v>
      </c>
      <c r="D24" s="21" t="n">
        <v>0.4</v>
      </c>
      <c r="E24" s="13" t="inlineStr">
        <is>
          <t>% of rewards</t>
        </is>
      </c>
      <c r="F24" s="14" t="inlineStr">
        <is>
          <t>Accrued but never withdrawn. LOWER than v0.2 — fewer churn before cashing out.</t>
        </is>
      </c>
    </row>
    <row r="25">
      <c r="A25" s="11" t="inlineStr">
        <is>
          <t>Breakage at a ₹30 first payout (v0.2)</t>
        </is>
      </c>
      <c r="B25" s="16" t="n">
        <v>0.25</v>
      </c>
      <c r="C25" s="16" t="n">
        <v>0.4</v>
      </c>
      <c r="D25" s="16" t="n">
        <v>0.55</v>
      </c>
      <c r="E25" s="13" t="inlineStr">
        <is>
          <t>% of rewards</t>
        </is>
      </c>
      <c r="F25" s="14" t="inlineStr">
        <is>
          <t>Kept only to quantify what the ₹10 decision costs</t>
        </is>
      </c>
    </row>
    <row r="26">
      <c r="A26" s="9" t="inlineStr">
        <is>
          <t>COSTS</t>
        </is>
      </c>
      <c r="B26" s="10" t="n"/>
      <c r="C26" s="10" t="n"/>
      <c r="D26" s="10" t="n"/>
      <c r="E26" s="10" t="n"/>
      <c r="F26" s="10" t="n"/>
    </row>
    <row r="27">
      <c r="A27" s="11" t="inlineStr">
        <is>
          <t>UPI payout fee</t>
        </is>
      </c>
      <c r="B27" s="18" t="n">
        <v>5</v>
      </c>
      <c r="C27" s="18" t="n">
        <v>3</v>
      </c>
      <c r="D27" s="18" t="n">
        <v>2</v>
      </c>
      <c r="E27" s="13" t="inlineStr">
        <is>
          <t>₹ per payout</t>
        </is>
      </c>
      <c r="F27" s="14" t="inlineStr">
        <is>
          <t>RazorpayX ₹2–5; UPI at the low end</t>
        </is>
      </c>
    </row>
    <row r="28">
      <c r="A28" s="11" t="inlineStr">
        <is>
          <t>Payouts per withdrawing user</t>
        </is>
      </c>
      <c r="B28" s="12" t="n">
        <v>1</v>
      </c>
      <c r="C28" s="12" t="n">
        <v>1</v>
      </c>
      <c r="D28" s="12" t="n">
        <v>1</v>
      </c>
      <c r="E28" s="13" t="inlineStr">
        <is>
          <t>per month</t>
        </is>
      </c>
      <c r="F28" s="14" t="inlineStr">
        <is>
          <t>Monthly batch payout</t>
        </is>
      </c>
    </row>
    <row r="29">
      <c r="A29" s="11" t="inlineStr">
        <is>
          <t>Infrastructure cost</t>
        </is>
      </c>
      <c r="B29" s="18" t="n">
        <v>0.8</v>
      </c>
      <c r="C29" s="18" t="n">
        <v>0.5</v>
      </c>
      <c r="D29" s="18" t="n">
        <v>0.3</v>
      </c>
      <c r="E29" s="13" t="inlineStr">
        <is>
          <t>₹/MAU/month</t>
        </is>
      </c>
      <c r="F29" s="14" t="inlineStr">
        <is>
          <t>Firebase, Firestore, Functions, Play Integrity</t>
        </is>
      </c>
    </row>
    <row r="30">
      <c r="A30" s="11" t="inlineStr">
        <is>
          <t>SMS / OTP cost</t>
        </is>
      </c>
      <c r="B30" s="18" t="n">
        <v>0.3</v>
      </c>
      <c r="C30" s="18" t="n">
        <v>0.15</v>
      </c>
      <c r="D30" s="18" t="n">
        <v>0.1</v>
      </c>
      <c r="E30" s="13" t="inlineStr">
        <is>
          <t>₹/user/month</t>
        </is>
      </c>
      <c r="F30" s="14" t="inlineStr">
        <is>
          <t>Assumption</t>
        </is>
      </c>
    </row>
    <row r="31">
      <c r="A31" s="11" t="inlineStr">
        <is>
          <t>Support cost</t>
        </is>
      </c>
      <c r="B31" s="18" t="n">
        <v>0.6</v>
      </c>
      <c r="C31" s="18" t="n">
        <v>0.3</v>
      </c>
      <c r="D31" s="18" t="n">
        <v>0.15</v>
      </c>
      <c r="E31" s="13" t="inlineStr">
        <is>
          <t>₹/user/month</t>
        </is>
      </c>
      <c r="F31" s="14" t="inlineStr">
        <is>
          <t>Withdrawal disputes dominate</t>
        </is>
      </c>
    </row>
    <row r="32">
      <c r="A32" s="11" t="inlineStr">
        <is>
          <t>Fraud leakage</t>
        </is>
      </c>
      <c r="B32" s="16" t="n">
        <v>0.1</v>
      </c>
      <c r="C32" s="16" t="n">
        <v>0.05</v>
      </c>
      <c r="D32" s="16" t="n">
        <v>0.02</v>
      </c>
      <c r="E32" s="13" t="inlineStr">
        <is>
          <t>% of rewards</t>
        </is>
      </c>
      <c r="F32" s="14" t="inlineStr">
        <is>
          <t>Rupees reaching accounts that beat the controls</t>
        </is>
      </c>
    </row>
    <row r="33">
      <c r="A33" s="9" t="inlineStr">
        <is>
          <t>TARGETS</t>
        </is>
      </c>
      <c r="B33" s="10" t="n"/>
      <c r="C33" s="10" t="n"/>
      <c r="D33" s="10" t="n"/>
      <c r="E33" s="10" t="n"/>
      <c r="F33" s="10" t="n"/>
    </row>
    <row r="34">
      <c r="A34" s="11" t="inlineStr">
        <is>
          <t>Target contribution margin</t>
        </is>
      </c>
      <c r="B34" s="16" t="n">
        <v>0.3</v>
      </c>
      <c r="C34" s="16" t="n">
        <v>0.3</v>
      </c>
      <c r="D34" s="16" t="n">
        <v>0.3</v>
      </c>
      <c r="E34" s="13" t="inlineStr">
        <is>
          <t>% of revenue</t>
        </is>
      </c>
      <c r="F34" s="14" t="inlineStr">
        <is>
          <t>Profit retained before the reward budget is set</t>
        </is>
      </c>
    </row>
    <row r="35">
      <c r="A35" s="22" t="inlineStr">
        <is>
          <t>ACQUISITION — booked outside the reward budget</t>
        </is>
      </c>
      <c r="B35" s="23" t="n"/>
      <c r="C35" s="23" t="n"/>
      <c r="D35" s="23" t="n"/>
      <c r="E35" s="23" t="n"/>
      <c r="F35" s="23" t="n"/>
    </row>
    <row r="36">
      <c r="A36" s="11" t="inlineStr">
        <is>
          <t>Share of users reaching the first payout</t>
        </is>
      </c>
      <c r="B36" s="21" t="n">
        <v>0.55</v>
      </c>
      <c r="C36" s="21" t="n">
        <v>0.7</v>
      </c>
      <c r="D36" s="21" t="n">
        <v>0.85</v>
      </c>
      <c r="E36" s="13" t="inlineStr">
        <is>
          <t>%</t>
        </is>
      </c>
      <c r="F36" s="14" t="inlineStr">
        <is>
          <t>Higher at ₹10 than it was at ₹30</t>
        </is>
      </c>
    </row>
    <row r="37">
      <c r="A37" s="11" t="inlineStr">
        <is>
          <t>Referral bonus per referred install</t>
        </is>
      </c>
      <c r="B37" s="18" t="n">
        <v>5</v>
      </c>
      <c r="C37" s="18" t="n">
        <v>5</v>
      </c>
      <c r="D37" s="18" t="n">
        <v>5</v>
      </c>
      <c r="E37" s="13" t="inlineStr">
        <is>
          <t>₹</t>
        </is>
      </c>
      <c r="F37" s="14" t="inlineStr">
        <is>
          <t>CAC line, never counted against the reward cap</t>
        </is>
      </c>
    </row>
    <row r="38">
      <c r="A38" s="11" t="inlineStr">
        <is>
          <t>Paid install cost (CPI) in India</t>
        </is>
      </c>
      <c r="B38" s="18" t="n">
        <v>30</v>
      </c>
      <c r="C38" s="18" t="n">
        <v>22</v>
      </c>
      <c r="D38" s="18" t="n">
        <v>15</v>
      </c>
      <c r="E38" s="13" t="inlineStr">
        <is>
          <t>₹ per install</t>
        </is>
      </c>
      <c r="F38" s="14" t="inlineStr">
        <is>
          <t>Benchmark for judging the first payout as acquisition</t>
        </is>
      </c>
    </row>
    <row r="40">
      <c r="A40" s="9" t="inlineStr">
        <is>
          <t>MATH SECTION — the daytime earning loop (PRD 4.7)</t>
        </is>
      </c>
      <c r="B40" s="10" t="n"/>
      <c r="C40" s="10" t="n"/>
      <c r="D40" s="10" t="n"/>
      <c r="E40" s="10" t="n"/>
      <c r="F40" s="10" t="n"/>
    </row>
    <row r="41">
      <c r="A41" s="11" t="inlineStr">
        <is>
          <t>Math sets offered per day</t>
        </is>
      </c>
      <c r="B41" s="12" t="n">
        <v>5</v>
      </c>
      <c r="C41" s="12" t="n">
        <v>5</v>
      </c>
      <c r="D41" s="12" t="n">
        <v>5</v>
      </c>
      <c r="E41" s="13" t="inlineStr">
        <is>
          <t>sets</t>
        </is>
      </c>
      <c r="F41" s="14" t="inlineStr">
        <is>
          <t>Locked until the day's alarm is completed</t>
        </is>
      </c>
    </row>
    <row r="42">
      <c r="A42" s="11" t="inlineStr">
        <is>
          <t>Maths per set</t>
        </is>
      </c>
      <c r="B42" s="12" t="n">
        <v>4</v>
      </c>
      <c r="C42" s="12" t="n">
        <v>4</v>
      </c>
      <c r="D42" s="12" t="n">
        <v>4</v>
      </c>
      <c r="E42" s="13" t="inlineStr">
        <is>
          <t>questions</t>
        </is>
      </c>
      <c r="F42" s="14" t="inlineStr">
        <is>
          <t>20 questions a day if every set is taken</t>
        </is>
      </c>
    </row>
    <row r="43">
      <c r="A43" s="11" t="inlineStr">
        <is>
          <t>Rewarded ads per set</t>
        </is>
      </c>
      <c r="B43" s="12" t="n">
        <v>2</v>
      </c>
      <c r="C43" s="12" t="n">
        <v>2</v>
      </c>
      <c r="D43" s="12" t="n">
        <v>2</v>
      </c>
      <c r="E43" s="13" t="inlineStr">
        <is>
          <t>views</t>
        </is>
      </c>
      <c r="F43" s="14" t="inlineStr">
        <is>
          <t>One after every 2 questions</t>
        </is>
      </c>
    </row>
    <row r="44">
      <c r="A44" s="11" t="inlineStr">
        <is>
          <t>Average sets completed per day</t>
        </is>
      </c>
      <c r="B44" s="12" t="n">
        <v>2</v>
      </c>
      <c r="C44" s="12" t="n">
        <v>3</v>
      </c>
      <c r="D44" s="12" t="n">
        <v>5</v>
      </c>
      <c r="E44" s="13" t="inlineStr">
        <is>
          <t>sets</t>
        </is>
      </c>
      <c r="F44" s="14" t="inlineStr">
        <is>
          <t>THE honest home for the uncertainty. Measure this after launch.</t>
        </is>
      </c>
    </row>
    <row r="45">
      <c r="A45" s="9" t="inlineStr">
        <is>
          <t>REVENUE SHARE — what the user is paid (PRD 2)</t>
        </is>
      </c>
      <c r="B45" s="10" t="n"/>
      <c r="C45" s="10" t="n"/>
      <c r="D45" s="10" t="n"/>
      <c r="E45" s="10" t="n"/>
      <c r="F45" s="10" t="n"/>
    </row>
    <row r="46">
      <c r="A46" s="11" t="inlineStr">
        <is>
          <t>User share of realised ad revenue</t>
        </is>
      </c>
      <c r="B46" s="16" t="n">
        <v>0.5</v>
      </c>
      <c r="C46" s="16" t="n">
        <v>0.5</v>
      </c>
      <c r="D46" s="16" t="n">
        <v>0.5</v>
      </c>
      <c r="E46" s="13" t="inlineStr">
        <is>
          <t>%</t>
        </is>
      </c>
      <c r="F46" s="14" t="inlineStr">
        <is>
          <t>Paid only against ad views the SERVER has verified. No view, no credit.</t>
        </is>
      </c>
    </row>
    <row r="47">
      <c r="A47" s="11" t="inlineStr">
        <is>
          <t>Share at a 7-day streak</t>
        </is>
      </c>
      <c r="B47" s="16" t="n">
        <v>0.55</v>
      </c>
      <c r="C47" s="16" t="n">
        <v>0.55</v>
      </c>
      <c r="D47" s="16" t="n">
        <v>0.55</v>
      </c>
      <c r="E47" s="13" t="inlineStr">
        <is>
          <t>%</t>
        </is>
      </c>
      <c r="F47" s="14" t="inlineStr">
        <is>
          <t>Retention lever. Costs nothing that was not already earned.</t>
        </is>
      </c>
    </row>
    <row r="48">
      <c r="A48" s="11" t="inlineStr">
        <is>
          <t>Share at a 30-day streak</t>
        </is>
      </c>
      <c r="B48" s="16" t="n">
        <v>0.6</v>
      </c>
      <c r="C48" s="16" t="n">
        <v>0.6</v>
      </c>
      <c r="D48" s="16" t="n">
        <v>0.6</v>
      </c>
      <c r="E48" s="13" t="inlineStr">
        <is>
          <t>%</t>
        </is>
      </c>
      <c r="F48" s="14" t="inlineStr">
        <is>
          <t>WORST CASE for the business — profit is tested against this</t>
        </is>
      </c>
    </row>
    <row r="49">
      <c r="A49" s="11" t="inlineStr">
        <is>
          <t>Share until lifetime earnings reach the first threshold</t>
        </is>
      </c>
      <c r="B49" s="16" t="n">
        <v>0.7</v>
      </c>
      <c r="C49" s="16" t="n">
        <v>0.7</v>
      </c>
      <c r="D49" s="16" t="n">
        <v>0.7</v>
      </c>
      <c r="E49" s="13" t="inlineStr">
        <is>
          <t>%</t>
        </is>
      </c>
      <c r="F49" s="14" t="inlineStr">
        <is>
          <t>Acquisition spend, gets the user to their first real payout fast</t>
        </is>
      </c>
    </row>
    <row r="50">
      <c r="A50" s="11" t="inlineStr">
        <is>
          <t>Daily credited ad views ceiling</t>
        </is>
      </c>
      <c r="B50" s="12" t="n">
        <v>20</v>
      </c>
      <c r="C50" s="12" t="n">
        <v>20</v>
      </c>
      <c r="D50" s="12" t="n">
        <v>20</v>
      </c>
      <c r="E50" s="13" t="inlineStr">
        <is>
          <t>views</t>
        </is>
      </c>
      <c r="F50" s="14" t="inlineStr">
        <is>
          <t>Replaces the monthly cap. Bounds fraud without the app going dead mid-month.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58" customWidth="1" min="5" max="5"/>
  </cols>
  <sheetData>
    <row r="1">
      <c r="A1" s="1" t="inlineStr">
        <is>
          <t>Per-user monthly economics and the sustainable earning cap</t>
        </is>
      </c>
    </row>
    <row r="2">
      <c r="A2" s="24" t="inlineStr">
        <is>
          <t>All figures per ACTIVE user per month unless stated. Nothing here is typed by hand.</t>
        </is>
      </c>
    </row>
    <row r="4">
      <c r="A4" s="8" t="inlineStr">
        <is>
          <t>Line item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Optimistic</t>
        </is>
      </c>
      <c r="E4" s="8" t="inlineStr">
        <is>
          <t>Note</t>
        </is>
      </c>
    </row>
    <row r="5">
      <c r="A5" s="9" t="inlineStr">
        <is>
          <t>REVENUE</t>
        </is>
      </c>
      <c r="B5" s="10" t="n"/>
      <c r="C5" s="10" t="n"/>
      <c r="D5" s="10" t="n"/>
      <c r="E5" s="10" t="n"/>
    </row>
    <row r="6">
      <c r="A6" s="11" t="inlineStr">
        <is>
          <t>Rewarded video — standing offer</t>
        </is>
      </c>
      <c r="B6" s="25">
        <f>Assumptions!B8*Assumptions!B5/1000*Assumptions!B9*Assumptions!B6*Assumptions!B10</f>
        <v/>
      </c>
      <c r="C6" s="25">
        <f>Assumptions!C8*Assumptions!C5/1000*Assumptions!C9*Assumptions!C6*Assumptions!C10</f>
        <v/>
      </c>
      <c r="D6" s="25">
        <f>Assumptions!D8*Assumptions!D5/1000*Assumptions!D9*Assumptions!D6*Assumptions!D10</f>
        <v/>
      </c>
      <c r="E6" s="14" t="inlineStr">
        <is>
          <t>eCPM → ₹/view × views/day × active days × fill rate</t>
        </is>
      </c>
    </row>
    <row r="7">
      <c r="A7" s="11" t="inlineStr">
        <is>
          <t>Rewarded video — math section</t>
        </is>
      </c>
      <c r="B7" s="25">
        <f>Assumptions!B8*Assumptions!B5/1000*MIN(Assumptions!B44*Assumptions!B43,MAX(0,Assumptions!B50-Assumptions!B9))*Assumptions!B6*Assumptions!B10</f>
        <v/>
      </c>
      <c r="C7" s="25">
        <f>Assumptions!C8*Assumptions!C5/1000*MIN(Assumptions!C44*Assumptions!C43,MAX(0,Assumptions!C50-Assumptions!C9))*Assumptions!C6*Assumptions!C10</f>
        <v/>
      </c>
      <c r="D7" s="25">
        <f>Assumptions!D8*Assumptions!D5/1000*MIN(Assumptions!D44*Assumptions!D43,MAX(0,Assumptions!D50-Assumptions!D9))*Assumptions!D6*Assumptions!D10</f>
        <v/>
      </c>
      <c r="E7" s="14" t="inlineStr">
        <is>
          <t>Sets completed × ads per set, inside the daily ceiling</t>
        </is>
      </c>
    </row>
    <row r="8">
      <c r="A8" s="11" t="inlineStr">
        <is>
          <t>Interstitial</t>
        </is>
      </c>
      <c r="B8" s="25">
        <f>Assumptions!B11*Assumptions!B5/1000*Assumptions!B12*Assumptions!B6*Assumptions!B10</f>
        <v/>
      </c>
      <c r="C8" s="25">
        <f>Assumptions!C11*Assumptions!C5/1000*Assumptions!C12*Assumptions!C6*Assumptions!C10</f>
        <v/>
      </c>
      <c r="D8" s="25">
        <f>Assumptions!D11*Assumptions!D5/1000*Assumptions!D12*Assumptions!D6*Assumptions!D10</f>
        <v/>
      </c>
      <c r="E8" s="14" t="inlineStr">
        <is>
          <t>Allowed slots only — never in the alarm dismissal path</t>
        </is>
      </c>
    </row>
    <row r="9">
      <c r="A9" s="11" t="inlineStr">
        <is>
          <t>Banner</t>
        </is>
      </c>
      <c r="B9" s="25">
        <f>Assumptions!B13</f>
        <v/>
      </c>
      <c r="C9" s="25">
        <f>Assumptions!C13</f>
        <v/>
      </c>
      <c r="D9" s="25">
        <f>Assumptions!D13</f>
        <v/>
      </c>
      <c r="E9" s="14" t="inlineStr"/>
    </row>
    <row r="10">
      <c r="A10" s="11" t="inlineStr">
        <is>
          <t>Survey — one-time profile, amortised</t>
        </is>
      </c>
      <c r="B10" s="25">
        <f>Assumptions!B15/Assumptions!B16</f>
        <v/>
      </c>
      <c r="C10" s="25">
        <f>Assumptions!C15/Assumptions!C16</f>
        <v/>
      </c>
      <c r="D10" s="25">
        <f>Assumptions!D15/Assumptions!D16</f>
        <v/>
      </c>
      <c r="E10" s="14" t="inlineStr"/>
    </row>
    <row r="11">
      <c r="A11" s="11" t="inlineStr">
        <is>
          <t>Survey — daily drip</t>
        </is>
      </c>
      <c r="B11" s="25">
        <f>Assumptions!B17*Assumptions!B6</f>
        <v/>
      </c>
      <c r="C11" s="25">
        <f>Assumptions!C17*Assumptions!C6</f>
        <v/>
      </c>
      <c r="D11" s="25">
        <f>Assumptions!D17*Assumptions!D6</f>
        <v/>
      </c>
      <c r="E11" s="14" t="inlineStr"/>
    </row>
    <row r="12">
      <c r="A12" s="11" t="inlineStr">
        <is>
          <t>Sponsored QR (dormant)</t>
        </is>
      </c>
      <c r="B12" s="25">
        <f>Assumptions!B19*Assumptions!B20*Assumptions!B6</f>
        <v/>
      </c>
      <c r="C12" s="25">
        <f>Assumptions!C19*Assumptions!C20*Assumptions!C6</f>
        <v/>
      </c>
      <c r="D12" s="25">
        <f>Assumptions!D19*Assumptions!D20*Assumptions!D6</f>
        <v/>
      </c>
      <c r="E12" s="14" t="inlineStr">
        <is>
          <t>₹0 until a brand signs</t>
        </is>
      </c>
    </row>
    <row r="13">
      <c r="A13" s="26" t="inlineStr">
        <is>
          <t>TOTAL REVENUE</t>
        </is>
      </c>
      <c r="B13" s="27">
        <f>SUM(B6:B12)</f>
        <v/>
      </c>
      <c r="C13" s="27">
        <f>SUM(C6:C12)</f>
        <v/>
      </c>
      <c r="D13" s="27">
        <f>SUM(D6:D12)</f>
        <v/>
      </c>
      <c r="E13" s="28" t="inlineStr"/>
    </row>
    <row r="14">
      <c r="A14" s="29" t="inlineStr">
        <is>
          <t>of which AD REVENUE</t>
        </is>
      </c>
      <c r="B14" s="30">
        <f>SUM(B6:B9)</f>
        <v/>
      </c>
      <c r="C14" s="30">
        <f>SUM(C6:C9)</f>
        <v/>
      </c>
      <c r="D14" s="30">
        <f>SUM(D6:D9)</f>
        <v/>
      </c>
      <c r="E14" s="14" t="inlineStr">
        <is>
          <t>THE ONLY LINE THE USER IS PAID FROM. Survey revenue is retained.</t>
        </is>
      </c>
    </row>
    <row r="15">
      <c r="A15" s="11" t="inlineStr">
        <is>
          <t>Rewarded views credited per active day</t>
        </is>
      </c>
      <c r="B15" s="31">
        <f>MIN(Assumptions!B9+Assumptions!B44*Assumptions!B43,Assumptions!B50)</f>
        <v/>
      </c>
      <c r="C15" s="31">
        <f>MIN(Assumptions!C9+Assumptions!C44*Assumptions!C43,Assumptions!C50)</f>
        <v/>
      </c>
      <c r="D15" s="31">
        <f>MIN(Assumptions!D9+Assumptions!D44*Assumptions!D43,Assumptions!D50)</f>
        <v/>
      </c>
      <c r="E15" s="14" t="inlineStr">
        <is>
          <t>Bounded by the daily ceiling, Assumptions row 50</t>
        </is>
      </c>
    </row>
    <row r="17">
      <c r="A17" s="9" t="inlineStr">
        <is>
          <t>WHAT THE USER EARNS — a share of revenue that has ALREADY ARRIVED</t>
        </is>
      </c>
      <c r="B17" s="10" t="n"/>
      <c r="C17" s="10" t="n"/>
      <c r="D17" s="10" t="n"/>
      <c r="E17" s="10" t="n"/>
    </row>
    <row r="18">
      <c r="A18" s="11" t="inlineStr">
        <is>
          <t>Share, days 1–6</t>
        </is>
      </c>
      <c r="B18" s="32">
        <f>Assumptions!B46</f>
        <v/>
      </c>
      <c r="C18" s="32">
        <f>Assumptions!C46</f>
        <v/>
      </c>
      <c r="D18" s="32">
        <f>Assumptions!D46</f>
        <v/>
      </c>
      <c r="E18" s="14" t="inlineStr"/>
    </row>
    <row r="19">
      <c r="A19" s="11" t="inlineStr">
        <is>
          <t>Share, day 7+ streak</t>
        </is>
      </c>
      <c r="B19" s="32">
        <f>Assumptions!B47</f>
        <v/>
      </c>
      <c r="C19" s="32">
        <f>Assumptions!C47</f>
        <v/>
      </c>
      <c r="D19" s="32">
        <f>Assumptions!D47</f>
        <v/>
      </c>
      <c r="E19" s="14" t="inlineStr"/>
    </row>
    <row r="20">
      <c r="A20" s="11" t="inlineStr">
        <is>
          <t>Share, day 30+ streak</t>
        </is>
      </c>
      <c r="B20" s="32">
        <f>Assumptions!B48</f>
        <v/>
      </c>
      <c r="C20" s="32">
        <f>Assumptions!C48</f>
        <v/>
      </c>
      <c r="D20" s="32">
        <f>Assumptions!D48</f>
        <v/>
      </c>
      <c r="E20" s="14" t="inlineStr"/>
    </row>
    <row r="21">
      <c r="A21" s="11" t="inlineStr">
        <is>
          <t>User earns, days 1–6</t>
        </is>
      </c>
      <c r="B21" s="25">
        <f>B14*B18</f>
        <v/>
      </c>
      <c r="C21" s="25">
        <f>C14*C18</f>
        <v/>
      </c>
      <c r="D21" s="25">
        <f>D14*D18</f>
        <v/>
      </c>
      <c r="E21" s="14" t="inlineStr"/>
    </row>
    <row r="22">
      <c r="A22" s="11" t="inlineStr">
        <is>
          <t>User earns, day 7+</t>
        </is>
      </c>
      <c r="B22" s="25">
        <f>B14*B19</f>
        <v/>
      </c>
      <c r="C22" s="25">
        <f>C14*C19</f>
        <v/>
      </c>
      <c r="D22" s="25">
        <f>D14*D19</f>
        <v/>
      </c>
      <c r="E22" s="14" t="inlineStr"/>
    </row>
    <row r="23">
      <c r="A23" s="26" t="inlineStr">
        <is>
          <t>User earns, day 30+</t>
        </is>
      </c>
      <c r="B23" s="27">
        <f>B14*B20</f>
        <v/>
      </c>
      <c r="C23" s="27">
        <f>C14*C20</f>
        <v/>
      </c>
      <c r="D23" s="27">
        <f>D14*D20</f>
        <v/>
      </c>
      <c r="E23" s="28" t="inlineStr">
        <is>
          <t>The most a streak user can earn — and the worst case for the business</t>
        </is>
      </c>
    </row>
    <row r="24">
      <c r="A24" s="29" t="inlineStr">
        <is>
          <t>Per active day at day 30+</t>
        </is>
      </c>
      <c r="B24" s="30">
        <f>B23/Assumptions!B6</f>
        <v/>
      </c>
      <c r="C24" s="30">
        <f>C23/Assumptions!C6</f>
        <v/>
      </c>
      <c r="D24" s="30">
        <f>D23/Assumptions!D6</f>
        <v/>
      </c>
      <c r="E24" s="14" t="inlineStr">
        <is>
          <t>What the Daily Close shows</t>
        </is>
      </c>
    </row>
    <row r="26">
      <c r="A26" s="9" t="inlineStr">
        <is>
          <t>NON-REWARD COSTS</t>
        </is>
      </c>
      <c r="B26" s="10" t="n"/>
      <c r="C26" s="10" t="n"/>
      <c r="D26" s="10" t="n"/>
      <c r="E26" s="10" t="n"/>
    </row>
    <row r="27">
      <c r="A27" s="11" t="inlineStr">
        <is>
          <t>UPI payout fees</t>
        </is>
      </c>
      <c r="B27" s="25">
        <f>Assumptions!B27*Assumptions!B28*(1-Assumptions!B24)</f>
        <v/>
      </c>
      <c r="C27" s="25">
        <f>Assumptions!C27*Assumptions!C28*(1-Assumptions!C24)</f>
        <v/>
      </c>
      <c r="D27" s="25">
        <f>Assumptions!D27*Assumptions!D28*(1-Assumptions!D24)</f>
        <v/>
      </c>
      <c r="E27" s="14" t="inlineStr">
        <is>
          <t>Only non-breakage users trigger a payout</t>
        </is>
      </c>
    </row>
    <row r="28">
      <c r="A28" s="11" t="inlineStr">
        <is>
          <t>Infrastructure</t>
        </is>
      </c>
      <c r="B28" s="25">
        <f>Assumptions!B29</f>
        <v/>
      </c>
      <c r="C28" s="25">
        <f>Assumptions!C29</f>
        <v/>
      </c>
      <c r="D28" s="25">
        <f>Assumptions!D29</f>
        <v/>
      </c>
      <c r="E28" s="14" t="inlineStr"/>
    </row>
    <row r="29">
      <c r="A29" s="11" t="inlineStr">
        <is>
          <t>SMS / OTP</t>
        </is>
      </c>
      <c r="B29" s="25">
        <f>Assumptions!B30</f>
        <v/>
      </c>
      <c r="C29" s="25">
        <f>Assumptions!C30</f>
        <v/>
      </c>
      <c r="D29" s="25">
        <f>Assumptions!D30</f>
        <v/>
      </c>
      <c r="E29" s="14" t="inlineStr"/>
    </row>
    <row r="30">
      <c r="A30" s="11" t="inlineStr">
        <is>
          <t>Support</t>
        </is>
      </c>
      <c r="B30" s="25">
        <f>Assumptions!B31</f>
        <v/>
      </c>
      <c r="C30" s="25">
        <f>Assumptions!C31</f>
        <v/>
      </c>
      <c r="D30" s="25">
        <f>Assumptions!D31</f>
        <v/>
      </c>
      <c r="E30" s="14" t="inlineStr"/>
    </row>
    <row r="31">
      <c r="A31" s="11" t="inlineStr">
        <is>
          <t>Fraud leakage on rewards</t>
        </is>
      </c>
      <c r="B31" s="25">
        <f>B23*Assumptions!B32</f>
        <v/>
      </c>
      <c r="C31" s="25">
        <f>C23*Assumptions!C32</f>
        <v/>
      </c>
      <c r="D31" s="25">
        <f>D23*Assumptions!D32</f>
        <v/>
      </c>
      <c r="E31" s="14" t="inlineStr">
        <is>
          <t>Costed at the worst-case share</t>
        </is>
      </c>
    </row>
    <row r="32">
      <c r="A32" s="26" t="inlineStr">
        <is>
          <t>TOTAL NON-REWARD COST</t>
        </is>
      </c>
      <c r="B32" s="27">
        <f>SUM(B27:B31)</f>
        <v/>
      </c>
      <c r="C32" s="27">
        <f>SUM(C27:C31)</f>
        <v/>
      </c>
      <c r="D32" s="27">
        <f>SUM(D27:D31)</f>
        <v/>
      </c>
      <c r="E32" s="28" t="inlineStr"/>
    </row>
    <row r="34">
      <c r="A34" s="9" t="inlineStr">
        <is>
          <t>PROFIT — THIS IS THE LINE THAT MUST NEVER GO NEGATIVE</t>
        </is>
      </c>
      <c r="B34" s="10" t="n"/>
      <c r="C34" s="10" t="n"/>
      <c r="D34" s="10" t="n"/>
      <c r="E34" s="10" t="n"/>
    </row>
    <row r="35">
      <c r="A35" s="11" t="inlineStr">
        <is>
          <t>Ad revenue retained</t>
        </is>
      </c>
      <c r="B35" s="25">
        <f>B14-B23</f>
        <v/>
      </c>
      <c r="C35" s="25">
        <f>C14-C23</f>
        <v/>
      </c>
      <c r="D35" s="25">
        <f>D14-D23</f>
        <v/>
      </c>
      <c r="E35" s="14" t="inlineStr">
        <is>
          <t>The half not paid out, at the worst-case share</t>
        </is>
      </c>
    </row>
    <row r="36">
      <c r="A36" s="11" t="inlineStr">
        <is>
          <t>Survey revenue retained</t>
        </is>
      </c>
      <c r="B36" s="25">
        <f>B10+B11</f>
        <v/>
      </c>
      <c r="C36" s="25">
        <f>C10+C11</f>
        <v/>
      </c>
      <c r="D36" s="25">
        <f>D10+D11</f>
        <v/>
      </c>
      <c r="E36" s="14" t="inlineStr">
        <is>
          <t>Entirely retained — never shared</t>
        </is>
      </c>
    </row>
    <row r="37">
      <c r="A37" s="26" t="inlineStr">
        <is>
          <t>PROFIT PER ACTIVE USER PER MONTH</t>
        </is>
      </c>
      <c r="B37" s="27">
        <f>B35+B36-B32</f>
        <v/>
      </c>
      <c r="C37" s="27">
        <f>C35+C36-C32</f>
        <v/>
      </c>
      <c r="D37" s="27">
        <f>D35+D36-D32</f>
        <v/>
      </c>
      <c r="E37" s="28" t="inlineStr">
        <is>
          <t>Worst case: every user on the 60% streak share</t>
        </is>
      </c>
    </row>
    <row r="38">
      <c r="A38" s="29" t="inlineStr">
        <is>
          <t>Margin on total revenue</t>
        </is>
      </c>
      <c r="B38" s="33">
        <f>IF(B13=0,0,B37/B13)</f>
        <v/>
      </c>
      <c r="C38" s="33">
        <f>IF(C13=0,0,C37/C13)</f>
        <v/>
      </c>
      <c r="D38" s="33">
        <f>IF(D13=0,0,D37/D13)</f>
        <v/>
      </c>
      <c r="E38" s="14" t="inlineStr"/>
    </row>
    <row r="39">
      <c r="A39" s="26" t="inlineStr">
        <is>
          <t>SAFE?</t>
        </is>
      </c>
      <c r="B39" s="26">
        <f>IF(B37&gt;0,"YES — profitable at the highest share","NO — DO NOT SHIP")</f>
        <v/>
      </c>
      <c r="C39" s="26">
        <f>IF(C37&gt;0,"YES — profitable at the highest share","NO — DO NOT SHIP")</f>
        <v/>
      </c>
      <c r="D39" s="26">
        <f>IF(D37&gt;0,"YES — profitable at the highest share","NO — DO NOT SHIP")</f>
        <v/>
      </c>
      <c r="E39" s="28" t="inlineStr">
        <is>
          <t>Must read YES in all three columns. This is the release gate.</t>
        </is>
      </c>
    </row>
    <row r="40">
      <c r="A40" s="11" t="inlineStr">
        <is>
          <t>Headroom before a loss</t>
        </is>
      </c>
      <c r="B40" s="32">
        <f>IF(B14=0,0,B37/B14)</f>
        <v/>
      </c>
      <c r="C40" s="32">
        <f>IF(C14=0,0,C37/C14)</f>
        <v/>
      </c>
      <c r="D40" s="32">
        <f>IF(D14=0,0,D37/D14)</f>
        <v/>
      </c>
      <c r="E40" s="14" t="inlineStr">
        <is>
          <t>How much further the share could rise before profit hits zero</t>
        </is>
      </c>
    </row>
    <row r="42">
      <c r="A42" s="9" t="inlineStr">
        <is>
          <t>WHY THIS CANNOT LOSE MONEY THE WAY EARLIER VERSIONS COULD</t>
        </is>
      </c>
      <c r="B42" s="10" t="n"/>
      <c r="C42" s="10" t="n"/>
      <c r="D42" s="10" t="n"/>
      <c r="E42" s="10" t="n"/>
    </row>
    <row r="43">
      <c r="A43" s="11" t="inlineStr">
        <is>
          <t>Payout if eCPM halved</t>
        </is>
      </c>
      <c r="B43" s="25">
        <f>B23/2</f>
        <v/>
      </c>
      <c r="C43" s="25">
        <f>C23/2</f>
        <v/>
      </c>
      <c r="D43" s="25">
        <f>D23/2</f>
        <v/>
      </c>
      <c r="E43" s="14" t="inlineStr">
        <is>
          <t>Payout falls with revenue automatically — no renegotiation, no broken promise</t>
        </is>
      </c>
    </row>
    <row r="44">
      <c r="A44" s="29" t="inlineStr">
        <is>
          <t>Profit if eCPM halved</t>
        </is>
      </c>
      <c r="B44" s="30">
        <f>(B14/2)-(B23/2)+B36-B32</f>
        <v/>
      </c>
      <c r="C44" s="30">
        <f>(C14/2)-(C23/2)+C36-C32</f>
        <v/>
      </c>
      <c r="D44" s="30">
        <f>(D14/2)-(D23/2)+D36-D32</f>
        <v/>
      </c>
      <c r="E44" s="14" t="inlineStr">
        <is>
          <t>Still positive: the share is a fraction of whatever actually arrives</t>
        </is>
      </c>
    </row>
    <row r="45">
      <c r="A45" s="11" t="inlineStr">
        <is>
          <t>Payout if fill dropped to zero</t>
        </is>
      </c>
      <c r="B45" s="25">
        <f>0</f>
        <v/>
      </c>
      <c r="C45" s="25">
        <f>0</f>
        <v/>
      </c>
      <c r="D45" s="25">
        <f>0</f>
        <v/>
      </c>
      <c r="E45" s="14" t="inlineStr">
        <is>
          <t>No ad served, nothing credited, nothing owed</t>
        </is>
      </c>
    </row>
    <row r="47">
      <c r="A47" s="22" t="inlineStr">
        <is>
          <t>ACQUISITION — separate book, NOT charged against the share</t>
        </is>
      </c>
      <c r="B47" s="23" t="n"/>
      <c r="C47" s="23" t="n"/>
      <c r="D47" s="23" t="n"/>
      <c r="E47" s="23" t="n"/>
    </row>
    <row r="48">
      <c r="A48" s="34" t="inlineStr">
        <is>
          <t>First payout, cash</t>
        </is>
      </c>
      <c r="B48" s="35">
        <f>Assumptions!B22</f>
        <v/>
      </c>
      <c r="C48" s="35">
        <f>Assumptions!C22</f>
        <v/>
      </c>
      <c r="D48" s="35">
        <f>Assumptions!D22</f>
        <v/>
      </c>
      <c r="E48" s="36" t="inlineStr"/>
    </row>
    <row r="49">
      <c r="A49" s="34" t="inlineStr">
        <is>
          <t>First payout, transaction fee</t>
        </is>
      </c>
      <c r="B49" s="35">
        <f>Assumptions!B27</f>
        <v/>
      </c>
      <c r="C49" s="35">
        <f>Assumptions!C27</f>
        <v/>
      </c>
      <c r="D49" s="35">
        <f>Assumptions!D27</f>
        <v/>
      </c>
      <c r="E49" s="36" t="inlineStr"/>
    </row>
    <row r="50">
      <c r="A50" s="22" t="inlineStr">
        <is>
          <t>Total first-payout cost per converting user</t>
        </is>
      </c>
      <c r="B50" s="37">
        <f>B48+B49</f>
        <v/>
      </c>
      <c r="C50" s="37">
        <f>C48+C49</f>
        <v/>
      </c>
      <c r="D50" s="37">
        <f>D48+D49</f>
        <v/>
      </c>
      <c r="E50" s="36" t="inlineStr"/>
    </row>
    <row r="51">
      <c r="A51" s="34" t="inlineStr">
        <is>
          <t>Blended across all installs</t>
        </is>
      </c>
      <c r="B51" s="35">
        <f>B50*Assumptions!B36</f>
        <v/>
      </c>
      <c r="C51" s="35">
        <f>C50*Assumptions!C36</f>
        <v/>
      </c>
      <c r="D51" s="35">
        <f>D50*Assumptions!D36</f>
        <v/>
      </c>
      <c r="E51" s="36" t="inlineStr"/>
    </row>
    <row r="52">
      <c r="A52" s="34" t="inlineStr">
        <is>
          <t>Paid install cost (CPI) benchmark</t>
        </is>
      </c>
      <c r="B52" s="35">
        <f>Assumptions!B38</f>
        <v/>
      </c>
      <c r="C52" s="35">
        <f>Assumptions!C38</f>
        <v/>
      </c>
      <c r="D52" s="35">
        <f>Assumptions!D38</f>
        <v/>
      </c>
      <c r="E52" s="36" t="inlineStr"/>
    </row>
    <row r="53">
      <c r="A53" s="22" t="inlineStr">
        <is>
          <t>First payout as % of a paid install</t>
        </is>
      </c>
      <c r="B53" s="38">
        <f>IF(B52=0,0,B51/B52)</f>
        <v/>
      </c>
      <c r="C53" s="38">
        <f>IF(C52=0,0,C51/C52)</f>
        <v/>
      </c>
      <c r="D53" s="38">
        <f>IF(D52=0,0,D51/D52)</f>
        <v/>
      </c>
      <c r="E53" s="36" t="inlineStr">
        <is>
          <t>Under 100% means it buys a paid, retained user cheaper than an ad buys a raw install</t>
        </is>
      </c>
    </row>
    <row r="54">
      <c r="A54" s="34" t="inlineStr">
        <is>
          <t>Days to reach the first payout at the boosted share</t>
        </is>
      </c>
      <c r="B54" s="39">
        <f>IF(B14=0,0,Assumptions!B22/((B14*Assumptions!B49)/Assumptions!B6))</f>
        <v/>
      </c>
      <c r="C54" s="39">
        <f>IF(C14=0,0,Assumptions!C22/((C14*Assumptions!C49)/Assumptions!C6))</f>
        <v/>
      </c>
      <c r="D54" s="39">
        <f>IF(D14=0,0,Assumptions!D22/((D14*Assumptions!D49)/Assumptions!D6))</f>
        <v/>
      </c>
      <c r="E54" s="36" t="inlineStr">
        <is>
          <t>70% share until the first ₹10 — booked as acquisition, not reward</t>
        </is>
      </c>
    </row>
    <row r="56">
      <c r="A56" s="9" t="inlineStr">
        <is>
          <t>REALITY CHECK vs THE ORIGINAL ₹95 DESIGN</t>
        </is>
      </c>
      <c r="B56" s="10" t="n"/>
      <c r="C56" s="10" t="n"/>
      <c r="D56" s="10" t="n"/>
      <c r="E56" s="10" t="n"/>
    </row>
    <row r="57">
      <c r="A57" s="11" t="inlineStr">
        <is>
          <t>Original design payout (₹60 math + ₹30 streak + ₹5 signup)</t>
        </is>
      </c>
      <c r="B57" s="20" t="n">
        <v>95</v>
      </c>
      <c r="C57" s="20" t="n">
        <v>95</v>
      </c>
      <c r="D57" s="20" t="n">
        <v>95</v>
      </c>
      <c r="E57" s="24" t="inlineStr">
        <is>
          <t>A fixed promise made against variable revenue</t>
        </is>
      </c>
    </row>
    <row r="58">
      <c r="A58" s="29" t="inlineStr">
        <is>
          <t>What the share pays instead</t>
        </is>
      </c>
      <c r="B58" s="30">
        <f>B23</f>
        <v/>
      </c>
      <c r="C58" s="30">
        <f>C23</f>
        <v/>
      </c>
      <c r="D58" s="30">
        <f>D23</f>
        <v/>
      </c>
      <c r="E58" s="14" t="inlineStr"/>
    </row>
    <row r="59">
      <c r="A59" s="29" t="inlineStr">
        <is>
          <t>Monthly loss per user had ₹95 shipped</t>
        </is>
      </c>
      <c r="B59" s="30">
        <f>B13-B32-B57</f>
        <v/>
      </c>
      <c r="C59" s="30">
        <f>C13-C32-C57</f>
        <v/>
      </c>
      <c r="D59" s="30">
        <f>D13-D32-D57</f>
        <v/>
      </c>
      <c r="E59" s="14" t="inlineStr">
        <is>
          <t>The failure mode this design removes entirely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Monthly P&amp;L at scale — Base case, revenue-share model</t>
        </is>
      </c>
    </row>
    <row r="2">
      <c r="A2" s="24" t="inlineStr">
        <is>
          <t>There is no cap to set. The payout is a share of ad revenue that has already arrived.</t>
        </is>
      </c>
    </row>
    <row r="4">
      <c r="A4" s="2" t="inlineStr">
        <is>
          <t>User share to test</t>
        </is>
      </c>
      <c r="B4" s="40" t="n">
        <v>0.6</v>
      </c>
      <c r="C4" s="24" t="inlineStr">
        <is>
          <t>Worst case — every user on the 30-day streak tier</t>
        </is>
      </c>
    </row>
    <row r="5">
      <c r="A5" t="inlineStr">
        <is>
          <t>Ad revenue per active user (Base, from Model)</t>
        </is>
      </c>
      <c r="B5" s="41">
        <f>Model!C14</f>
        <v/>
      </c>
      <c r="C5" s="24" t="inlineStr">
        <is>
          <t>The only line the share is taken from</t>
        </is>
      </c>
    </row>
    <row r="6">
      <c r="A6" t="inlineStr">
        <is>
          <t>New-user share (drives acquisition cost)</t>
        </is>
      </c>
      <c r="B6" s="40" t="n">
        <v>0.25</v>
      </c>
      <c r="C6" s="24" t="inlineStr">
        <is>
          <t>Share of MAU in their first cycle</t>
        </is>
      </c>
    </row>
    <row r="8">
      <c r="A8" s="42" t="inlineStr">
        <is>
          <t>Line item</t>
        </is>
      </c>
      <c r="B8" s="42" t="inlineStr">
        <is>
          <t>10k MAU</t>
        </is>
      </c>
      <c r="C8" s="42" t="inlineStr">
        <is>
          <t>100k MAU</t>
        </is>
      </c>
      <c r="D8" s="42" t="inlineStr">
        <is>
          <t>1M MAU</t>
        </is>
      </c>
    </row>
    <row r="9">
      <c r="A9" s="43" t="inlineStr">
        <is>
          <t>Monthly active users</t>
        </is>
      </c>
      <c r="B9" s="44" t="n">
        <v>10000</v>
      </c>
      <c r="C9" s="44" t="n">
        <v>100000</v>
      </c>
      <c r="D9" s="44" t="n">
        <v>1000000</v>
      </c>
    </row>
    <row r="10">
      <c r="A10" s="11" t="inlineStr">
        <is>
          <t>Total revenue</t>
        </is>
      </c>
      <c r="B10" s="45">
        <f>B9*Model!$C$13</f>
        <v/>
      </c>
      <c r="C10" s="45">
        <f>C9*Model!$C$13</f>
        <v/>
      </c>
      <c r="D10" s="45">
        <f>D9*Model!$C$13</f>
        <v/>
      </c>
      <c r="E10" s="24" t="inlineStr"/>
    </row>
    <row r="11">
      <c r="A11" s="11" t="inlineStr">
        <is>
          <t>User payout — share of ad revenue</t>
        </is>
      </c>
      <c r="B11" s="45">
        <f>-B9*Model!$C$14*$B$4</f>
        <v/>
      </c>
      <c r="C11" s="45">
        <f>-C9*Model!$C$14*$B$4</f>
        <v/>
      </c>
      <c r="D11" s="45">
        <f>-D9*Model!$C$14*$B$4</f>
        <v/>
      </c>
      <c r="E11" s="24" t="inlineStr">
        <is>
          <t>Falls automatically if eCPM or fill falls. Cannot exceed what arrived.</t>
        </is>
      </c>
    </row>
    <row r="12">
      <c r="A12" s="11" t="inlineStr">
        <is>
          <t>Non-reward costs</t>
        </is>
      </c>
      <c r="B12" s="45">
        <f>-B9*Model!$C$32</f>
        <v/>
      </c>
      <c r="C12" s="45">
        <f>-C9*Model!$C$32</f>
        <v/>
      </c>
      <c r="D12" s="45">
        <f>-D9*Model!$C$32</f>
        <v/>
      </c>
      <c r="E12" s="24" t="inlineStr"/>
    </row>
    <row r="13">
      <c r="A13" s="26" t="inlineStr">
        <is>
          <t>CONTRIBUTION before acquisition</t>
        </is>
      </c>
      <c r="B13" s="46">
        <f>SUM(B10:B12)</f>
        <v/>
      </c>
      <c r="C13" s="46">
        <f>SUM(C10:C12)</f>
        <v/>
      </c>
      <c r="D13" s="46">
        <f>SUM(D10:D12)</f>
        <v/>
      </c>
      <c r="E13" s="24" t="inlineStr"/>
    </row>
    <row r="14">
      <c r="A14" s="34" t="inlineStr">
        <is>
          <t>Acquisition — first payouts</t>
        </is>
      </c>
      <c r="B14" s="47">
        <f>-B9*$B$6*Model!$C$51</f>
        <v/>
      </c>
      <c r="C14" s="47">
        <f>-C9*$B$6*Model!$C$51</f>
        <v/>
      </c>
      <c r="D14" s="47">
        <f>-D9*$B$6*Model!$C$51</f>
        <v/>
      </c>
      <c r="E14" s="24" t="inlineStr">
        <is>
          <t>One-off per new user, not a recurring reward</t>
        </is>
      </c>
    </row>
    <row r="15">
      <c r="A15" s="26" t="inlineStr">
        <is>
          <t>CONTRIBUTION after acquisition</t>
        </is>
      </c>
      <c r="B15" s="46">
        <f>B13+B14</f>
        <v/>
      </c>
      <c r="C15" s="46">
        <f>C13+C14</f>
        <v/>
      </c>
      <c r="D15" s="46">
        <f>D13+D14</f>
        <v/>
      </c>
      <c r="E15" s="24" t="inlineStr"/>
    </row>
    <row r="16">
      <c r="A16" s="26" t="inlineStr">
        <is>
          <t>Margin after acquisition</t>
        </is>
      </c>
      <c r="B16" s="48">
        <f>IF(B10=0,0,B15/B10)</f>
        <v/>
      </c>
      <c r="C16" s="48">
        <f>IF(C10=0,0,C15/C10)</f>
        <v/>
      </c>
      <c r="D16" s="48">
        <f>IF(D10=0,0,D15/D10)</f>
        <v/>
      </c>
      <c r="E16" s="24" t="inlineStr"/>
    </row>
    <row r="17">
      <c r="A17" s="26" t="inlineStr">
        <is>
          <t>SAFE AT SCALE?</t>
        </is>
      </c>
      <c r="B17" s="26">
        <f>IF(B15&gt;0,"YES","NO — DO NOT SHIP")</f>
        <v/>
      </c>
      <c r="C17" s="26">
        <f>IF(C15&gt;0,"YES","NO — DO NOT SHIP")</f>
        <v/>
      </c>
      <c r="D17" s="26">
        <f>IF(D15&gt;0,"YES","NO — DO NOT SHIP")</f>
        <v/>
      </c>
      <c r="E17" s="24" t="inlineStr"/>
    </row>
    <row r="19">
      <c r="A19" s="11" t="inlineStr">
        <is>
          <t>If eCPM halved: revenue</t>
        </is>
      </c>
      <c r="B19" s="45">
        <f>B9*(Model!$C$13-Model!$C$14/2)</f>
        <v/>
      </c>
      <c r="C19" s="45">
        <f>C9*(Model!$C$13-Model!$C$14/2)</f>
        <v/>
      </c>
      <c r="D19" s="45">
        <f>D9*(Model!$C$13-Model!$C$14/2)</f>
        <v/>
      </c>
      <c r="E19" s="24" t="inlineStr"/>
    </row>
    <row r="20">
      <c r="A20" s="11" t="inlineStr">
        <is>
          <t>If eCPM halved: user payout</t>
        </is>
      </c>
      <c r="B20" s="45">
        <f>-B9*(Model!$C$14/2)*$B$4</f>
        <v/>
      </c>
      <c r="C20" s="45">
        <f>-C9*(Model!$C$14/2)*$B$4</f>
        <v/>
      </c>
      <c r="D20" s="45">
        <f>-D9*(Model!$C$14/2)*$B$4</f>
        <v/>
      </c>
      <c r="E20" s="24" t="inlineStr">
        <is>
          <t>The payout halves with it — this is the whole point</t>
        </is>
      </c>
    </row>
    <row r="21">
      <c r="A21" s="26" t="inlineStr">
        <is>
          <t>If eCPM halved: CONTRIBUTION</t>
        </is>
      </c>
      <c r="B21" s="46">
        <f>B19+B20-B9*Model!$C$32</f>
        <v/>
      </c>
      <c r="C21" s="46">
        <f>C19+C20-C9*Model!$C$32</f>
        <v/>
      </c>
      <c r="D21" s="46">
        <f>D19+D20-D9*Model!$C$32</f>
        <v/>
      </c>
      <c r="E21" s="24" t="inlineStr"/>
    </row>
    <row r="23">
      <c r="A23" s="29" t="inlineStr">
        <is>
          <t>Contribution had the ORIGINAL ₹95 shipped</t>
        </is>
      </c>
      <c r="B23" s="49">
        <f>B9*Model!$C$13-B9*Model!$C$32-B9*Model!$C$57</f>
        <v/>
      </c>
      <c r="C23" s="49">
        <f>C9*Model!$C$13-C9*Model!$C$32-C9*Model!$C$57</f>
        <v/>
      </c>
      <c r="D23" s="49">
        <f>D9*Model!$C$13-D9*Model!$C$32-D9*Model!$C$57</f>
        <v/>
      </c>
      <c r="E23" s="24" t="inlineStr">
        <is>
          <t>A fixed promise against variable revenue — the failure this removes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Profit per user per month — user share against ad revenue</t>
        </is>
      </c>
    </row>
    <row r="2">
      <c r="A2" s="24" t="inlineStr">
        <is>
          <t>Rows = share paid to the user. Columns = ad revenue per active user. Base-case costs and survey revenue.</t>
        </is>
      </c>
    </row>
    <row r="3">
      <c r="A3" s="24" t="inlineStr">
        <is>
          <t>Bracketed values are losses. The shipped share is 50-60%; note how much room sits above it.</t>
        </is>
      </c>
    </row>
    <row r="5">
      <c r="A5" s="8" t="inlineStr">
        <is>
          <t>Share \ Ad revenue</t>
        </is>
      </c>
      <c r="B5" s="50" t="n">
        <v>5</v>
      </c>
      <c r="C5" s="50" t="n">
        <v>10</v>
      </c>
      <c r="D5" s="50" t="n">
        <v>15</v>
      </c>
      <c r="E5" s="50" t="n">
        <v>20</v>
      </c>
      <c r="F5" s="50" t="n">
        <v>25</v>
      </c>
      <c r="G5" s="50" t="n">
        <v>30</v>
      </c>
      <c r="H5" s="50" t="n">
        <v>40</v>
      </c>
      <c r="I5" s="50" t="n">
        <v>60</v>
      </c>
    </row>
    <row r="6">
      <c r="A6" s="16" t="n">
        <v>0.3</v>
      </c>
      <c r="B6" s="51">
        <f>B$5*(1-$A6)+Model!$C$36-Model!$C$32</f>
        <v/>
      </c>
      <c r="C6" s="51">
        <f>C$5*(1-$A6)+Model!$C$36-Model!$C$32</f>
        <v/>
      </c>
      <c r="D6" s="51">
        <f>D$5*(1-$A6)+Model!$C$36-Model!$C$32</f>
        <v/>
      </c>
      <c r="E6" s="51">
        <f>E$5*(1-$A6)+Model!$C$36-Model!$C$32</f>
        <v/>
      </c>
      <c r="F6" s="51">
        <f>F$5*(1-$A6)+Model!$C$36-Model!$C$32</f>
        <v/>
      </c>
      <c r="G6" s="51">
        <f>G$5*(1-$A6)+Model!$C$36-Model!$C$32</f>
        <v/>
      </c>
      <c r="H6" s="51">
        <f>H$5*(1-$A6)+Model!$C$36-Model!$C$32</f>
        <v/>
      </c>
      <c r="I6" s="51">
        <f>I$5*(1-$A6)+Model!$C$36-Model!$C$32</f>
        <v/>
      </c>
    </row>
    <row r="7">
      <c r="A7" s="16" t="n">
        <v>0.4</v>
      </c>
      <c r="B7" s="51">
        <f>B$5*(1-$A7)+Model!$C$36-Model!$C$32</f>
        <v/>
      </c>
      <c r="C7" s="51">
        <f>C$5*(1-$A7)+Model!$C$36-Model!$C$32</f>
        <v/>
      </c>
      <c r="D7" s="51">
        <f>D$5*(1-$A7)+Model!$C$36-Model!$C$32</f>
        <v/>
      </c>
      <c r="E7" s="51">
        <f>E$5*(1-$A7)+Model!$C$36-Model!$C$32</f>
        <v/>
      </c>
      <c r="F7" s="51">
        <f>F$5*(1-$A7)+Model!$C$36-Model!$C$32</f>
        <v/>
      </c>
      <c r="G7" s="51">
        <f>G$5*(1-$A7)+Model!$C$36-Model!$C$32</f>
        <v/>
      </c>
      <c r="H7" s="51">
        <f>H$5*(1-$A7)+Model!$C$36-Model!$C$32</f>
        <v/>
      </c>
      <c r="I7" s="51">
        <f>I$5*(1-$A7)+Model!$C$36-Model!$C$32</f>
        <v/>
      </c>
    </row>
    <row r="8">
      <c r="A8" s="21" t="n">
        <v>0.5</v>
      </c>
      <c r="B8" s="51">
        <f>B$5*(1-$A8)+Model!$C$36-Model!$C$32</f>
        <v/>
      </c>
      <c r="C8" s="51">
        <f>C$5*(1-$A8)+Model!$C$36-Model!$C$32</f>
        <v/>
      </c>
      <c r="D8" s="51">
        <f>D$5*(1-$A8)+Model!$C$36-Model!$C$32</f>
        <v/>
      </c>
      <c r="E8" s="51">
        <f>E$5*(1-$A8)+Model!$C$36-Model!$C$32</f>
        <v/>
      </c>
      <c r="F8" s="51">
        <f>F$5*(1-$A8)+Model!$C$36-Model!$C$32</f>
        <v/>
      </c>
      <c r="G8" s="51">
        <f>G$5*(1-$A8)+Model!$C$36-Model!$C$32</f>
        <v/>
      </c>
      <c r="H8" s="51">
        <f>H$5*(1-$A8)+Model!$C$36-Model!$C$32</f>
        <v/>
      </c>
      <c r="I8" s="51">
        <f>I$5*(1-$A8)+Model!$C$36-Model!$C$32</f>
        <v/>
      </c>
    </row>
    <row r="9">
      <c r="A9" s="16" t="n">
        <v>0.55</v>
      </c>
      <c r="B9" s="51">
        <f>B$5*(1-$A9)+Model!$C$36-Model!$C$32</f>
        <v/>
      </c>
      <c r="C9" s="51">
        <f>C$5*(1-$A9)+Model!$C$36-Model!$C$32</f>
        <v/>
      </c>
      <c r="D9" s="51">
        <f>D$5*(1-$A9)+Model!$C$36-Model!$C$32</f>
        <v/>
      </c>
      <c r="E9" s="51">
        <f>E$5*(1-$A9)+Model!$C$36-Model!$C$32</f>
        <v/>
      </c>
      <c r="F9" s="51">
        <f>F$5*(1-$A9)+Model!$C$36-Model!$C$32</f>
        <v/>
      </c>
      <c r="G9" s="51">
        <f>G$5*(1-$A9)+Model!$C$36-Model!$C$32</f>
        <v/>
      </c>
      <c r="H9" s="51">
        <f>H$5*(1-$A9)+Model!$C$36-Model!$C$32</f>
        <v/>
      </c>
      <c r="I9" s="51">
        <f>I$5*(1-$A9)+Model!$C$36-Model!$C$32</f>
        <v/>
      </c>
    </row>
    <row r="10">
      <c r="A10" s="21" t="n">
        <v>0.6</v>
      </c>
      <c r="B10" s="51">
        <f>B$5*(1-$A10)+Model!$C$36-Model!$C$32</f>
        <v/>
      </c>
      <c r="C10" s="51">
        <f>C$5*(1-$A10)+Model!$C$36-Model!$C$32</f>
        <v/>
      </c>
      <c r="D10" s="51">
        <f>D$5*(1-$A10)+Model!$C$36-Model!$C$32</f>
        <v/>
      </c>
      <c r="E10" s="51">
        <f>E$5*(1-$A10)+Model!$C$36-Model!$C$32</f>
        <v/>
      </c>
      <c r="F10" s="51">
        <f>F$5*(1-$A10)+Model!$C$36-Model!$C$32</f>
        <v/>
      </c>
      <c r="G10" s="51">
        <f>G$5*(1-$A10)+Model!$C$36-Model!$C$32</f>
        <v/>
      </c>
      <c r="H10" s="51">
        <f>H$5*(1-$A10)+Model!$C$36-Model!$C$32</f>
        <v/>
      </c>
      <c r="I10" s="51">
        <f>I$5*(1-$A10)+Model!$C$36-Model!$C$32</f>
        <v/>
      </c>
    </row>
    <row r="11">
      <c r="A11" s="16" t="n">
        <v>0.7</v>
      </c>
      <c r="B11" s="51">
        <f>B$5*(1-$A11)+Model!$C$36-Model!$C$32</f>
        <v/>
      </c>
      <c r="C11" s="51">
        <f>C$5*(1-$A11)+Model!$C$36-Model!$C$32</f>
        <v/>
      </c>
      <c r="D11" s="51">
        <f>D$5*(1-$A11)+Model!$C$36-Model!$C$32</f>
        <v/>
      </c>
      <c r="E11" s="51">
        <f>E$5*(1-$A11)+Model!$C$36-Model!$C$32</f>
        <v/>
      </c>
      <c r="F11" s="51">
        <f>F$5*(1-$A11)+Model!$C$36-Model!$C$32</f>
        <v/>
      </c>
      <c r="G11" s="51">
        <f>G$5*(1-$A11)+Model!$C$36-Model!$C$32</f>
        <v/>
      </c>
      <c r="H11" s="51">
        <f>H$5*(1-$A11)+Model!$C$36-Model!$C$32</f>
        <v/>
      </c>
      <c r="I11" s="51">
        <f>I$5*(1-$A11)+Model!$C$36-Model!$C$32</f>
        <v/>
      </c>
    </row>
    <row r="12">
      <c r="A12" s="16" t="n">
        <v>0.8</v>
      </c>
      <c r="B12" s="51">
        <f>B$5*(1-$A12)+Model!$C$36-Model!$C$32</f>
        <v/>
      </c>
      <c r="C12" s="51">
        <f>C$5*(1-$A12)+Model!$C$36-Model!$C$32</f>
        <v/>
      </c>
      <c r="D12" s="51">
        <f>D$5*(1-$A12)+Model!$C$36-Model!$C$32</f>
        <v/>
      </c>
      <c r="E12" s="51">
        <f>E$5*(1-$A12)+Model!$C$36-Model!$C$32</f>
        <v/>
      </c>
      <c r="F12" s="51">
        <f>F$5*(1-$A12)+Model!$C$36-Model!$C$32</f>
        <v/>
      </c>
      <c r="G12" s="51">
        <f>G$5*(1-$A12)+Model!$C$36-Model!$C$32</f>
        <v/>
      </c>
      <c r="H12" s="51">
        <f>H$5*(1-$A12)+Model!$C$36-Model!$C$32</f>
        <v/>
      </c>
      <c r="I12" s="51">
        <f>I$5*(1-$A12)+Model!$C$36-Model!$C$32</f>
        <v/>
      </c>
    </row>
    <row r="13">
      <c r="A13" s="16" t="n">
        <v>0.9</v>
      </c>
      <c r="B13" s="51">
        <f>B$5*(1-$A13)+Model!$C$36-Model!$C$32</f>
        <v/>
      </c>
      <c r="C13" s="51">
        <f>C$5*(1-$A13)+Model!$C$36-Model!$C$32</f>
        <v/>
      </c>
      <c r="D13" s="51">
        <f>D$5*(1-$A13)+Model!$C$36-Model!$C$32</f>
        <v/>
      </c>
      <c r="E13" s="51">
        <f>E$5*(1-$A13)+Model!$C$36-Model!$C$32</f>
        <v/>
      </c>
      <c r="F13" s="51">
        <f>F$5*(1-$A13)+Model!$C$36-Model!$C$32</f>
        <v/>
      </c>
      <c r="G13" s="51">
        <f>G$5*(1-$A13)+Model!$C$36-Model!$C$32</f>
        <v/>
      </c>
      <c r="H13" s="51">
        <f>H$5*(1-$A13)+Model!$C$36-Model!$C$32</f>
        <v/>
      </c>
      <c r="I13" s="51">
        <f>I$5*(1-$A13)+Model!$C$36-Model!$C$32</f>
        <v/>
      </c>
    </row>
    <row r="14">
      <c r="A14" s="16" t="n">
        <v>1</v>
      </c>
      <c r="B14" s="51">
        <f>B$5*(1-$A14)+Model!$C$36-Model!$C$32</f>
        <v/>
      </c>
      <c r="C14" s="51">
        <f>C$5*(1-$A14)+Model!$C$36-Model!$C$32</f>
        <v/>
      </c>
      <c r="D14" s="51">
        <f>D$5*(1-$A14)+Model!$C$36-Model!$C$32</f>
        <v/>
      </c>
      <c r="E14" s="51">
        <f>E$5*(1-$A14)+Model!$C$36-Model!$C$32</f>
        <v/>
      </c>
      <c r="F14" s="51">
        <f>F$5*(1-$A14)+Model!$C$36-Model!$C$32</f>
        <v/>
      </c>
      <c r="G14" s="51">
        <f>G$5*(1-$A14)+Model!$C$36-Model!$C$32</f>
        <v/>
      </c>
      <c r="H14" s="51">
        <f>H$5*(1-$A14)+Model!$C$36-Model!$C$32</f>
        <v/>
      </c>
      <c r="I14" s="51">
        <f>I$5*(1-$A14)+Model!$C$36-Model!$C$32</f>
        <v/>
      </c>
    </row>
    <row r="16">
      <c r="A16" s="24" t="inlineStr">
        <is>
          <t>Shipped shares (50% and 60%) are highlighted. Every negative cell is a loss per user per month.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2026-07-27T07:10:45Z</dcterms:created>
  <dcterms:modified xsi:type="dcterms:W3CDTF">2026-07-27T07:10:45Z</dcterms:modified>
</cp:coreProperties>
</file>