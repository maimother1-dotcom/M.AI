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Assumptions" sheetId="2" state="visible" r:id="rId2"/>
    <sheet name="Model" sheetId="3" state="visible" r:id="rId3"/>
    <sheet name="Scale" sheetId="4" state="visible" r:id="rId4"/>
    <sheet name="Sensitivit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;(#,##0.0);-"/>
    <numFmt numFmtId="165" formatCode="$#,##0.00"/>
    <numFmt numFmtId="166" formatCode="0.0%;(0.0%);-"/>
    <numFmt numFmtId="167" formatCode="₹#,##0.00;(₹#,##0.00);-"/>
    <numFmt numFmtId="168" formatCode="₹#,##0;(₹#,##0);-"/>
    <numFmt numFmtId="169" formatCode="#,##0;(#,##0);-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i val="1"/>
      <color rgb="00595959"/>
      <sz val="9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FCE4D6"/>
      </patternFill>
    </fill>
    <fill>
      <patternFill patternType="solid">
        <fgColor rgb="00D9E2F3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5" borderId="1" pivotButton="0" quotePrefix="0" xfId="0"/>
    <xf numFmtId="0" fontId="0" fillId="5" borderId="1" pivotButton="0" quotePrefix="0" xfId="0"/>
    <xf numFmtId="0" fontId="4" fillId="0" borderId="1" pivotButton="0" quotePrefix="0" xfId="0"/>
    <xf numFmtId="164" fontId="5" fillId="0" borderId="1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1" pivotButton="0" quotePrefix="0" xfId="0"/>
    <xf numFmtId="165" fontId="5" fillId="3" borderId="1" applyAlignment="1" pivotButton="0" quotePrefix="0" xfId="0">
      <alignment horizontal="center"/>
    </xf>
    <xf numFmtId="166" fontId="5" fillId="0" borderId="1" applyAlignment="1" pivotButton="0" quotePrefix="0" xfId="0">
      <alignment horizontal="center"/>
    </xf>
    <xf numFmtId="165" fontId="5" fillId="0" borderId="1" applyAlignment="1" pivotButton="0" quotePrefix="0" xfId="0">
      <alignment horizontal="center"/>
    </xf>
    <xf numFmtId="167" fontId="5" fillId="0" borderId="1" applyAlignment="1" pivotButton="0" quotePrefix="0" xfId="0">
      <alignment horizontal="center"/>
    </xf>
    <xf numFmtId="167" fontId="5" fillId="3" borderId="1" applyAlignment="1" pivotButton="0" quotePrefix="0" xfId="0">
      <alignment horizontal="center"/>
    </xf>
    <xf numFmtId="168" fontId="5" fillId="0" borderId="1" applyAlignment="1" pivotButton="0" quotePrefix="0" xfId="0">
      <alignment horizontal="center"/>
    </xf>
    <xf numFmtId="166" fontId="5" fillId="3" borderId="1" applyAlignment="1" pivotButton="0" quotePrefix="0" xfId="0">
      <alignment horizontal="center"/>
    </xf>
    <xf numFmtId="0" fontId="3" fillId="4" borderId="1" pivotButton="0" quotePrefix="0" xfId="0"/>
    <xf numFmtId="0" fontId="0" fillId="4" borderId="1" pivotButton="0" quotePrefix="0" xfId="0"/>
    <xf numFmtId="0" fontId="7" fillId="0" borderId="0" pivotButton="0" quotePrefix="0" xfId="0"/>
    <xf numFmtId="167" fontId="4" fillId="0" borderId="1" pivotButton="0" quotePrefix="0" xfId="0"/>
    <xf numFmtId="0" fontId="3" fillId="6" borderId="1" pivotButton="0" quotePrefix="0" xfId="0"/>
    <xf numFmtId="167" fontId="3" fillId="6" borderId="1" pivotButton="0" quotePrefix="0" xfId="0"/>
    <xf numFmtId="0" fontId="7" fillId="6" borderId="1" pivotButton="0" quotePrefix="0" xfId="0"/>
    <xf numFmtId="0" fontId="3" fillId="0" borderId="1" pivotButton="0" quotePrefix="0" xfId="0"/>
    <xf numFmtId="167" fontId="3" fillId="0" borderId="1" pivotButton="0" quotePrefix="0" xfId="0"/>
    <xf numFmtId="166" fontId="4" fillId="0" borderId="1" pivotButton="0" quotePrefix="0" xfId="0"/>
    <xf numFmtId="164" fontId="4" fillId="0" borderId="1" pivotButton="0" quotePrefix="0" xfId="0"/>
    <xf numFmtId="166" fontId="3" fillId="0" borderId="1" pivotButton="0" quotePrefix="0" xfId="0"/>
    <xf numFmtId="0" fontId="4" fillId="4" borderId="1" pivotButton="0" quotePrefix="0" xfId="0"/>
    <xf numFmtId="167" fontId="4" fillId="4" borderId="1" pivotButton="0" quotePrefix="0" xfId="0"/>
    <xf numFmtId="0" fontId="7" fillId="4" borderId="1" pivotButton="0" quotePrefix="0" xfId="0"/>
    <xf numFmtId="167" fontId="3" fillId="4" borderId="1" pivotButton="0" quotePrefix="0" xfId="0"/>
    <xf numFmtId="166" fontId="3" fillId="4" borderId="1" pivotButton="0" quotePrefix="0" xfId="0"/>
    <xf numFmtId="168" fontId="5" fillId="3" borderId="1" pivotButton="0" quotePrefix="0" xfId="0"/>
    <xf numFmtId="167" fontId="6" fillId="0" borderId="1" pivotButton="0" quotePrefix="0" xfId="0"/>
    <xf numFmtId="166" fontId="5" fillId="3" borderId="1" pivotButton="0" quotePrefix="0" xfId="0"/>
    <xf numFmtId="0" fontId="2" fillId="2" borderId="1" applyAlignment="1" pivotButton="0" quotePrefix="0" xfId="0">
      <alignment horizontal="center" vertical="center"/>
    </xf>
    <xf numFmtId="0" fontId="0" fillId="0" borderId="1" pivotButton="0" quotePrefix="0" xfId="0"/>
    <xf numFmtId="169" fontId="5" fillId="0" borderId="1" applyAlignment="1" pivotButton="0" quotePrefix="0" xfId="0">
      <alignment horizontal="center"/>
    </xf>
    <xf numFmtId="168" fontId="4" fillId="0" borderId="1" pivotButton="0" quotePrefix="0" xfId="0"/>
    <xf numFmtId="168" fontId="3" fillId="6" borderId="1" pivotButton="0" quotePrefix="0" xfId="0"/>
    <xf numFmtId="168" fontId="4" fillId="4" borderId="1" pivotButton="0" quotePrefix="0" xfId="0"/>
    <xf numFmtId="166" fontId="3" fillId="6" borderId="1" pivotButton="0" quotePrefix="0" xfId="0"/>
    <xf numFmtId="168" fontId="3" fillId="0" borderId="1" pivotButton="0" quotePrefix="0" xfId="0"/>
    <xf numFmtId="168" fontId="2" fillId="2" borderId="1" applyAlignment="1" pivotButton="0" quotePrefix="0" xfId="0">
      <alignment horizontal="center"/>
    </xf>
    <xf numFmtId="167" fontId="0" fillId="0" borderId="1" pivotButton="0" quotePrefix="0" xfId="0"/>
    <xf numFmtId="168" fontId="5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2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AlarmX — Unit Economics Model (v0.5)</t>
        </is>
      </c>
    </row>
    <row r="2">
      <c r="A2" t="inlineStr"/>
    </row>
    <row r="3">
      <c r="A3" s="2" t="inlineStr">
        <is>
          <t>What this answers</t>
        </is>
      </c>
    </row>
    <row r="4">
      <c r="A4" s="3" t="inlineStr">
        <is>
          <t>How much cash AlarmX can pay one user per month without losing money.</t>
        </is>
      </c>
    </row>
    <row r="5">
      <c r="A5" s="3" t="inlineStr">
        <is>
          <t>Every other number in the product spec is derived from that one.</t>
        </is>
      </c>
    </row>
    <row r="6">
      <c r="A6" t="inlineStr"/>
    </row>
    <row r="7">
      <c r="A7" s="2" t="inlineStr">
        <is>
          <t>WHERE THE MONEY ACTUALLY COMES FROM</t>
        </is>
      </c>
    </row>
    <row r="8">
      <c r="A8" s="3" t="inlineStr">
        <is>
          <t>Advertising is the largest source and always was. Per active user per month:</t>
        </is>
      </c>
    </row>
    <row r="9">
      <c r="A9" t="inlineStr"/>
    </row>
    <row r="10">
      <c r="A10" s="3" t="inlineStr">
        <is>
          <t xml:space="preserve">                        Conservative      Base   Optimistic</t>
        </is>
      </c>
    </row>
    <row r="11">
      <c r="A11" s="3" t="inlineStr">
        <is>
          <t xml:space="preserve">  Advertising                  Rs5.62   Rs15.91      Rs43.68</t>
        </is>
      </c>
    </row>
    <row r="12">
      <c r="A12" s="3" t="inlineStr">
        <is>
          <t xml:space="preserve">  Survey resale                Rs5.67   Rs10.25      Rs20.00</t>
        </is>
      </c>
    </row>
    <row r="13">
      <c r="A13" s="3" t="inlineStr">
        <is>
          <t xml:space="preserve">  Ads as a share of revenue       50%       61%          69%</t>
        </is>
      </c>
    </row>
    <row r="14">
      <c r="A14" t="inlineStr"/>
    </row>
    <row r="15">
      <c r="A15" s="2" t="inlineStr">
        <is>
          <t>SO WHY DOES THE SURVEY PLACEHOLDER STILL MATTER? Because of this:</t>
        </is>
      </c>
    </row>
    <row r="16">
      <c r="A16" s="3" t="inlineStr">
        <is>
          <t>With the survey line set to ZERO, ads alone produce these caps:</t>
        </is>
      </c>
    </row>
    <row r="17">
      <c r="A17" t="inlineStr"/>
    </row>
    <row r="18">
      <c r="A18" s="3" t="inlineStr">
        <is>
          <t xml:space="preserve">  Conservative   ad revenue Rs5.62  vs non-reward cost Rs5.95  -&gt;  cap NEGATIVE</t>
        </is>
      </c>
    </row>
    <row r="19">
      <c r="A19" s="3" t="inlineStr">
        <is>
          <t xml:space="preserve">  Base           ad revenue Rs15.91                            -&gt;  cap Rs10.08</t>
        </is>
      </c>
    </row>
    <row r="20">
      <c r="A20" s="3" t="inlineStr">
        <is>
          <t xml:space="preserve">  Optimistic     ad revenue Rs43.68                            -&gt;  cap Rs47.10</t>
        </is>
      </c>
    </row>
    <row r="21">
      <c r="A21" t="inlineStr"/>
    </row>
    <row r="22">
      <c r="A22" s="3" t="inlineStr">
        <is>
          <t>In the Conservative column ad revenue does not cover the payout fee, servers</t>
        </is>
      </c>
    </row>
    <row r="23">
      <c r="A23" s="3" t="inlineStr">
        <is>
          <t>and support. You lose money before paying a single reward.</t>
        </is>
      </c>
    </row>
    <row r="24">
      <c r="A24" t="inlineStr"/>
    </row>
    <row r="25">
      <c r="A25" s="3" t="inlineStr">
        <is>
          <t>Leaning on ads does not remove that fragility, it MOVES it. The load-bearing</t>
        </is>
      </c>
    </row>
    <row r="26">
      <c r="A26" s="3" t="inlineStr">
        <is>
          <t>input stops being a survey price you can negotiate and becomes eCPM and fill</t>
        </is>
      </c>
    </row>
    <row r="27">
      <c r="A27" s="3" t="inlineStr">
        <is>
          <t>rate, which Google sets and you do not. Both need real measurement.</t>
        </is>
      </c>
    </row>
    <row r="28">
      <c r="A28" t="inlineStr"/>
    </row>
    <row r="29">
      <c r="A29" s="2" t="inlineStr">
        <is>
          <t>What changed in v0.5</t>
        </is>
      </c>
    </row>
    <row r="30">
      <c r="A30" s="3" t="inlineStr">
        <is>
          <t>Rewarded video goes from 3 to 4 views per active day at Base.</t>
        </is>
      </c>
    </row>
    <row r="31">
      <c r="A31" s="3" t="inlineStr">
        <is>
          <t>Rewarded eCPM is $1.50 against $0.40 for interstitial, so an extra rewarded</t>
        </is>
      </c>
    </row>
    <row r="32">
      <c r="A32" s="3" t="inlineStr">
        <is>
          <t>view is worth 3.8x an extra interstitial - and the user opts into it.</t>
        </is>
      </c>
    </row>
    <row r="33">
      <c r="A33" s="3" t="inlineStr">
        <is>
          <t xml:space="preserve">  Base cap Rs16.75 -&gt; Rs19.19.</t>
        </is>
      </c>
    </row>
    <row r="34">
      <c r="A34" t="inlineStr"/>
    </row>
    <row r="35">
      <c r="A35" s="2" t="inlineStr">
        <is>
          <t>THE LAUNCH CAP STAYS AT Rs15. The extra headroom is banked as margin, not</t>
        </is>
      </c>
    </row>
    <row r="36">
      <c r="A36" s="3" t="inlineStr">
        <is>
          <t>spent. Four videos a day is an assumption, not a measurement. Raising the</t>
        </is>
      </c>
    </row>
    <row r="37">
      <c r="A37" s="3" t="inlineStr">
        <is>
          <t>payout on the strength of an unmeasured assumption is exactly the mistake</t>
        </is>
      </c>
    </row>
    <row r="38">
      <c r="A38" s="3" t="inlineStr">
        <is>
          <t>that produced the Rs95 design.</t>
        </is>
      </c>
    </row>
    <row r="39">
      <c r="A39" t="inlineStr"/>
    </row>
    <row r="40">
      <c r="A40" s="2" t="inlineStr">
        <is>
          <t>NO AD SITS BETWEEN THE USER AND ALARM DISMISSAL. An interstitial there was</t>
        </is>
      </c>
    </row>
    <row r="41">
      <c r="A41" s="3" t="inlineStr">
        <is>
          <t>modelled and priced: it earns Rs0.73/user/month and moves the cap Rs0.65.</t>
        </is>
      </c>
    </row>
    <row r="42">
      <c r="A42" s="3" t="inlineStr">
        <is>
          <t>That is the entire value of delaying someone switching off a 5am alarm, and</t>
        </is>
      </c>
    </row>
    <row r="43">
      <c r="A43" s="3" t="inlineStr">
        <is>
          <t>of handing a Play reviewer a reward app that blocks an alarm. Not taken.</t>
        </is>
      </c>
    </row>
    <row r="44">
      <c r="A44" s="3" t="inlineStr">
        <is>
          <t>The 4 interstitials above sit in allowed slots only - see PRD 4.6.</t>
        </is>
      </c>
    </row>
    <row r="45">
      <c r="A45" t="inlineStr"/>
    </row>
    <row r="46">
      <c r="A46" s="2" t="inlineStr">
        <is>
          <t>What changed in v0.4 — deliberately, almost nothing</t>
        </is>
      </c>
    </row>
    <row r="47">
      <c r="A47" s="3" t="inlineStr">
        <is>
          <t>v0.4 adds the regional calendar and the 4x2 home-screen widget (PRD 16).</t>
        </is>
      </c>
    </row>
    <row r="48">
      <c r="A48" s="3" t="inlineStr">
        <is>
          <t>It pays no cash, so it does not touch the cap. Two accounting notes:</t>
        </is>
      </c>
    </row>
    <row r="49">
      <c r="A49" s="3" t="inlineStr">
        <is>
          <t xml:space="preserve">  - Swiss Ephemeris Professional licence: a ONE-TIME CAPITALISED COST, paid</t>
        </is>
      </c>
    </row>
    <row r="50">
      <c r="A50" s="3" t="inlineStr">
        <is>
          <t xml:space="preserve">    per project before distribution. It is not a per-user cost and must not be</t>
        </is>
      </c>
    </row>
    <row r="51">
      <c r="A51" s="3" t="inlineStr">
        <is>
          <t xml:space="preserve">    amortised into the cap. Get the current fee from Astrodienst before booking it.</t>
        </is>
      </c>
    </row>
    <row r="52">
      <c r="A52" s="3" t="inlineStr">
        <is>
          <t xml:space="preserve">  - The widget MAY raise active days per month (Base assumes 26). That would</t>
        </is>
      </c>
    </row>
    <row r="53">
      <c r="A53" s="3" t="inlineStr">
        <is>
          <t xml:space="preserve">    raise revenue and therefore the cap. IT IS NOT BAKED IN, AND MUST NOT BE.</t>
        </is>
      </c>
    </row>
    <row r="54">
      <c r="A54" s="3" t="inlineStr">
        <is>
          <t xml:space="preserve">    Raising a revenue assumption on the strength of an unshipped feature is how</t>
        </is>
      </c>
    </row>
    <row r="55">
      <c r="A55" s="3" t="inlineStr">
        <is>
          <t xml:space="preserve">    the Rs95 design happened. Re-measure after 60 days of live data, then decide.</t>
        </is>
      </c>
    </row>
    <row r="56">
      <c r="A56" t="inlineStr"/>
    </row>
    <row r="57">
      <c r="A57" s="2" t="inlineStr">
        <is>
          <t>What changed in v0.3</t>
        </is>
      </c>
    </row>
    <row r="58">
      <c r="A58" s="3" t="inlineStr">
        <is>
          <t>The first payout drops from Rs30 to Rs10. That is not free:</t>
        </is>
      </c>
    </row>
    <row r="59">
      <c r="A59" s="3" t="inlineStr">
        <is>
          <t xml:space="preserve">  - Fewer users churn without ever withdrawing, so BREAKAGE FALLS.</t>
        </is>
      </c>
    </row>
    <row r="60">
      <c r="A60" s="3" t="inlineStr">
        <is>
          <t xml:space="preserve">  - Lower breakage means more of what is accrued is actually paid out.</t>
        </is>
      </c>
    </row>
    <row r="61">
      <c r="A61" s="3" t="inlineStr">
        <is>
          <t xml:space="preserve">  - Higher real cash cost means the SUSTAINABLE CAP FALLS.</t>
        </is>
      </c>
    </row>
    <row r="62">
      <c r="A62" s="3" t="inlineStr">
        <is>
          <t>The Model tab quantifies exactly how much, and compares against v0.2.</t>
        </is>
      </c>
    </row>
    <row r="63">
      <c r="A63" t="inlineStr"/>
    </row>
    <row r="64">
      <c r="A64" s="2" t="inlineStr">
        <is>
          <t>The first payout is booked as ACQUISITION, not as a reward.</t>
        </is>
      </c>
    </row>
    <row r="65">
      <c r="A65" s="3" t="inlineStr">
        <is>
          <t>Rs10 plus the payout fee buys the 'it actually paid me' moment, which is a</t>
        </is>
      </c>
    </row>
    <row r="66">
      <c r="A66" s="3" t="inlineStr">
        <is>
          <t>marketing outcome. The same rupees spent on an install ad would buy far less.</t>
        </is>
      </c>
    </row>
    <row r="67">
      <c r="A67" s="3" t="inlineStr">
        <is>
          <t>Charging it to the reward budget would wrongly depress the cap in every later</t>
        </is>
      </c>
    </row>
    <row r="68">
      <c r="A68" s="3" t="inlineStr">
        <is>
          <t>month. It sits in its own block on the Model tab, compared against install cost.</t>
        </is>
      </c>
    </row>
    <row r="69">
      <c r="A69" t="inlineStr"/>
    </row>
    <row r="70">
      <c r="A70" s="2" t="inlineStr">
        <is>
          <t>How to use it</t>
        </is>
      </c>
    </row>
    <row r="71">
      <c r="A71" s="3" t="inlineStr">
        <is>
          <t>1. Assumptions tab. Edit ONLY the blue cells.</t>
        </is>
      </c>
    </row>
    <row r="72">
      <c r="A72" s="3" t="inlineStr">
        <is>
          <t>2. Three scenarios: Conservative / Base / Optimistic. Base is the planning case.</t>
        </is>
      </c>
    </row>
    <row r="73">
      <c r="A73" s="3" t="inlineStr">
        <is>
          <t>3. Model computes the cap per scenario. Nothing there is typed by hand.</t>
        </is>
      </c>
    </row>
    <row r="74">
      <c r="A74" s="3" t="inlineStr">
        <is>
          <t>4. Scale shows monthly P&amp;L at 10k / 100k / 1M MAU. Set your cap in the yellow cell.</t>
        </is>
      </c>
    </row>
    <row r="75">
      <c r="A75" s="3" t="inlineStr">
        <is>
          <t>5. Sensitivity grids cap against revenue per user.</t>
        </is>
      </c>
    </row>
    <row r="76">
      <c r="A76" t="inlineStr"/>
    </row>
    <row r="77">
      <c r="A77" s="2" t="inlineStr">
        <is>
          <t>Colour key</t>
        </is>
      </c>
    </row>
    <row r="78">
      <c r="A78" s="4" t="inlineStr">
        <is>
          <t>Blue text = hardcoded input you can edit</t>
        </is>
      </c>
    </row>
    <row r="79">
      <c r="A79" s="3" t="inlineStr">
        <is>
          <t>Black text = formula, do not overwrite</t>
        </is>
      </c>
    </row>
    <row r="80">
      <c r="A80" s="5" t="inlineStr">
        <is>
          <t>Green text = link to another sheet</t>
        </is>
      </c>
    </row>
    <row r="81">
      <c r="A81" s="6" t="inlineStr">
        <is>
          <t>Yellow fill = load-bearing assumption</t>
        </is>
      </c>
    </row>
    <row r="82">
      <c r="A82" s="7" t="inlineStr">
        <is>
          <t>Orange fill = acquisition, deliberately outside the reward budget</t>
        </is>
      </c>
    </row>
    <row r="83">
      <c r="A83" t="inlineStr"/>
    </row>
    <row r="84">
      <c r="A84" s="2" t="inlineStr">
        <is>
          <t>Sources</t>
        </is>
      </c>
    </row>
    <row r="85">
      <c r="A85" s="3" t="inlineStr">
        <is>
          <t>Rewarded video eCPM: India Android rewarded benchmarked around $1.50; India across</t>
        </is>
      </c>
    </row>
    <row r="86">
      <c r="A86" s="3" t="inlineStr">
        <is>
          <t xml:space="preserve">  ad types spans $0.50-$2.00. Source: Coinis rewarded-video glossary; Business of Apps.</t>
        </is>
      </c>
    </row>
    <row r="87">
      <c r="A87" s="3" t="inlineStr">
        <is>
          <t>UPI payout fee: RazorpayX Rs2-5 per payout, UPI at the low end. Verify the live</t>
        </is>
      </c>
    </row>
    <row r="88">
      <c r="A88" s="3" t="inlineStr">
        <is>
          <t xml:space="preserve">  price card before committing.</t>
        </is>
      </c>
    </row>
    <row r="89">
      <c r="A89" s="3" t="inlineStr">
        <is>
          <t>Survey resale values: NOT SOURCED. Placeholders, and the least reliable inputs here.</t>
        </is>
      </c>
    </row>
    <row r="90">
      <c r="A90" s="3" t="inlineStr">
        <is>
          <t xml:space="preserve">  Validate with a real data buyer before counting this revenue.</t>
        </is>
      </c>
    </row>
    <row r="91">
      <c r="A91" s="3" t="inlineStr">
        <is>
          <t>Breakage and share-reaching-first-payout: assumptions, not measured. Revisit after</t>
        </is>
      </c>
    </row>
    <row r="92">
      <c r="A92" s="3" t="inlineStr">
        <is>
          <t xml:space="preserve">  60 days of live data - they move the cap more than almost anything else.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64" customWidth="1" min="6" max="6"/>
  </cols>
  <sheetData>
    <row r="1">
      <c r="A1" s="1" t="inlineStr">
        <is>
          <t>Assumptions — edit the blue cells only</t>
        </is>
      </c>
    </row>
    <row r="3">
      <c r="A3" s="8" t="inlineStr">
        <is>
          <t>Input</t>
        </is>
      </c>
      <c r="B3" s="8" t="inlineStr">
        <is>
          <t>Conservative</t>
        </is>
      </c>
      <c r="C3" s="8" t="inlineStr">
        <is>
          <t>Base</t>
        </is>
      </c>
      <c r="D3" s="8" t="inlineStr">
        <is>
          <t>Optimistic</t>
        </is>
      </c>
      <c r="E3" s="8" t="inlineStr">
        <is>
          <t>Unit</t>
        </is>
      </c>
      <c r="F3" s="8" t="inlineStr">
        <is>
          <t>Source / note</t>
        </is>
      </c>
    </row>
    <row r="4">
      <c r="A4" s="9" t="inlineStr">
        <is>
          <t>GLOBAL</t>
        </is>
      </c>
      <c r="B4" s="10" t="n"/>
      <c r="C4" s="10" t="n"/>
      <c r="D4" s="10" t="n"/>
      <c r="E4" s="10" t="n"/>
      <c r="F4" s="10" t="n"/>
    </row>
    <row r="5">
      <c r="A5" s="11" t="inlineStr">
        <is>
          <t>USD / INR exchange rate</t>
        </is>
      </c>
      <c r="B5" s="12" t="n">
        <v>88</v>
      </c>
      <c r="C5" s="12" t="n">
        <v>88</v>
      </c>
      <c r="D5" s="12" t="n">
        <v>88</v>
      </c>
      <c r="E5" s="13" t="inlineStr">
        <is>
          <t>₹ per $</t>
        </is>
      </c>
      <c r="F5" s="14" t="inlineStr">
        <is>
          <t>Assumption, 2026</t>
        </is>
      </c>
    </row>
    <row r="6">
      <c r="A6" s="11" t="inlineStr">
        <is>
          <t>Active days per user per month</t>
        </is>
      </c>
      <c r="B6" s="12" t="n">
        <v>20</v>
      </c>
      <c r="C6" s="12" t="n">
        <v>26</v>
      </c>
      <c r="D6" s="12" t="n">
        <v>30</v>
      </c>
      <c r="E6" s="13" t="inlineStr">
        <is>
          <t>days</t>
        </is>
      </c>
      <c r="F6" s="14" t="inlineStr">
        <is>
          <t>Days the user opens the app and completes an alarm</t>
        </is>
      </c>
    </row>
    <row r="7">
      <c r="A7" s="9" t="inlineStr">
        <is>
          <t>AD REVENUE</t>
        </is>
      </c>
      <c r="B7" s="10" t="n"/>
      <c r="C7" s="10" t="n"/>
      <c r="D7" s="10" t="n"/>
      <c r="E7" s="10" t="n"/>
      <c r="F7" s="10" t="n"/>
    </row>
    <row r="8">
      <c r="A8" s="11" t="inlineStr">
        <is>
          <t>Rewarded video eCPM</t>
        </is>
      </c>
      <c r="B8" s="15" t="n">
        <v>1</v>
      </c>
      <c r="C8" s="15" t="n">
        <v>1.5</v>
      </c>
      <c r="D8" s="15" t="n">
        <v>2.5</v>
      </c>
      <c r="E8" s="13" t="inlineStr">
        <is>
          <t>$ per 1,000</t>
        </is>
      </c>
      <c r="F8" s="14" t="inlineStr">
        <is>
          <t>India Android rewarded ~$1.50; India range $0.50–$2.00</t>
        </is>
      </c>
    </row>
    <row r="9">
      <c r="A9" s="11" t="inlineStr">
        <is>
          <t>Rewarded videos per active day</t>
        </is>
      </c>
      <c r="B9" s="12" t="n">
        <v>3</v>
      </c>
      <c r="C9" s="12" t="n">
        <v>4</v>
      </c>
      <c r="D9" s="12" t="n">
        <v>5</v>
      </c>
      <c r="E9" s="13" t="inlineStr">
        <is>
          <t>views</t>
        </is>
      </c>
      <c r="F9" s="14" t="inlineStr">
        <is>
          <t>v0.5 — raised from 2/3/4. Opt-in, and worth 3.8x an interstitial</t>
        </is>
      </c>
    </row>
    <row r="10">
      <c r="A10" s="11" t="inlineStr">
        <is>
          <t>Ad fill rate</t>
        </is>
      </c>
      <c r="B10" s="16" t="n">
        <v>0.7</v>
      </c>
      <c r="C10" s="16" t="n">
        <v>0.8</v>
      </c>
      <c r="D10" s="16" t="n">
        <v>0.9</v>
      </c>
      <c r="E10" s="13" t="inlineStr">
        <is>
          <t>%</t>
        </is>
      </c>
      <c r="F10" s="14" t="inlineStr">
        <is>
          <t>Share of ad requests returning a paying ad in India</t>
        </is>
      </c>
    </row>
    <row r="11">
      <c r="A11" s="11" t="inlineStr">
        <is>
          <t>Interstitial eCPM</t>
        </is>
      </c>
      <c r="B11" s="17" t="n">
        <v>0.25</v>
      </c>
      <c r="C11" s="17" t="n">
        <v>0.4</v>
      </c>
      <c r="D11" s="17" t="n">
        <v>0.7</v>
      </c>
      <c r="E11" s="13" t="inlineStr">
        <is>
          <t>$ per 1,000</t>
        </is>
      </c>
      <c r="F11" s="14" t="inlineStr">
        <is>
          <t>Materially below rewarded video — 27% of it at base</t>
        </is>
      </c>
    </row>
    <row r="12">
      <c r="A12" s="11" t="inlineStr">
        <is>
          <t>Interstitials per active day</t>
        </is>
      </c>
      <c r="B12" s="12" t="n">
        <v>3</v>
      </c>
      <c r="C12" s="12" t="n">
        <v>4</v>
      </c>
      <c r="D12" s="12" t="n">
        <v>6</v>
      </c>
      <c r="E12" s="13" t="inlineStr">
        <is>
          <t>views</t>
        </is>
      </c>
      <c r="F12" s="14" t="inlineStr">
        <is>
          <t>Allowed slots only — NONE in the alarm dismissal path, PRD 4.6</t>
        </is>
      </c>
    </row>
    <row r="13">
      <c r="A13" s="11" t="inlineStr">
        <is>
          <t>Banner revenue</t>
        </is>
      </c>
      <c r="B13" s="18" t="n">
        <v>1</v>
      </c>
      <c r="C13" s="18" t="n">
        <v>2</v>
      </c>
      <c r="D13" s="18" t="n">
        <v>4</v>
      </c>
      <c r="E13" s="13" t="inlineStr">
        <is>
          <t>₹/user/month</t>
        </is>
      </c>
      <c r="F13" s="14" t="inlineStr">
        <is>
          <t>Banners earn very little in India</t>
        </is>
      </c>
    </row>
    <row r="14">
      <c r="A14" s="9" t="inlineStr">
        <is>
          <t>SURVEY DATA RESALE</t>
        </is>
      </c>
      <c r="B14" s="10" t="n"/>
      <c r="C14" s="10" t="n"/>
      <c r="D14" s="10" t="n"/>
      <c r="E14" s="10" t="n"/>
      <c r="F14" s="10" t="n"/>
    </row>
    <row r="15">
      <c r="A15" s="11" t="inlineStr">
        <is>
          <t>One-time profile resale value</t>
        </is>
      </c>
      <c r="B15" s="19" t="n">
        <v>8</v>
      </c>
      <c r="C15" s="19" t="n">
        <v>15</v>
      </c>
      <c r="D15" s="19" t="n">
        <v>30</v>
      </c>
      <c r="E15" s="13" t="inlineStr">
        <is>
          <t>₹ per user</t>
        </is>
      </c>
      <c r="F15" s="14" t="inlineStr">
        <is>
          <t>PLACEHOLDER — validate with a real buyer</t>
        </is>
      </c>
    </row>
    <row r="16">
      <c r="A16" s="11" t="inlineStr">
        <is>
          <t>Expected user lifetime</t>
        </is>
      </c>
      <c r="B16" s="12" t="n">
        <v>3</v>
      </c>
      <c r="C16" s="12" t="n">
        <v>4</v>
      </c>
      <c r="D16" s="12" t="n">
        <v>6</v>
      </c>
      <c r="E16" s="13" t="inlineStr">
        <is>
          <t>months</t>
        </is>
      </c>
      <c r="F16" s="14" t="inlineStr">
        <is>
          <t>Amortises the one-time value and the acquisition cost</t>
        </is>
      </c>
    </row>
    <row r="17">
      <c r="A17" s="11" t="inlineStr">
        <is>
          <t>Daily drip batch value</t>
        </is>
      </c>
      <c r="B17" s="19" t="n">
        <v>0.15</v>
      </c>
      <c r="C17" s="19" t="n">
        <v>0.25</v>
      </c>
      <c r="D17" s="19" t="n">
        <v>0.5</v>
      </c>
      <c r="E17" s="13" t="inlineStr">
        <is>
          <t>₹ per batch</t>
        </is>
      </c>
      <c r="F17" s="14" t="inlineStr">
        <is>
          <t>PLACEHOLDER — 2–3 questions answered per day</t>
        </is>
      </c>
    </row>
    <row r="18">
      <c r="A18" s="9" t="inlineStr">
        <is>
          <t>SPONSORED QR — DORMANT</t>
        </is>
      </c>
      <c r="B18" s="10" t="n"/>
      <c r="C18" s="10" t="n"/>
      <c r="D18" s="10" t="n"/>
      <c r="E18" s="10" t="n"/>
      <c r="F18" s="10" t="n"/>
    </row>
    <row r="19">
      <c r="A19" s="11" t="inlineStr">
        <is>
          <t>Sponsored scans per active day</t>
        </is>
      </c>
      <c r="B19" s="12" t="n">
        <v>0</v>
      </c>
      <c r="C19" s="12" t="n">
        <v>0</v>
      </c>
      <c r="D19" s="12" t="n">
        <v>0</v>
      </c>
      <c r="E19" s="13" t="inlineStr">
        <is>
          <t>scans</t>
        </is>
      </c>
      <c r="F19" s="14" t="inlineStr">
        <is>
          <t>ZERO until a brand signs. Rails built, switch off.</t>
        </is>
      </c>
    </row>
    <row r="20">
      <c r="A20" s="11" t="inlineStr">
        <is>
          <t>Brand-funded value per scan</t>
        </is>
      </c>
      <c r="B20" s="18" t="n">
        <v>0.5</v>
      </c>
      <c r="C20" s="18" t="n">
        <v>1</v>
      </c>
      <c r="D20" s="18" t="n">
        <v>2</v>
      </c>
      <c r="E20" s="13" t="inlineStr">
        <is>
          <t>₹ per scan</t>
        </is>
      </c>
      <c r="F20" s="14" t="inlineStr">
        <is>
          <t>Scenario only — no revenue while row 19 is zero</t>
        </is>
      </c>
    </row>
    <row r="21">
      <c r="A21" s="9" t="inlineStr">
        <is>
          <t>WITHDRAWAL THRESHOLDS</t>
        </is>
      </c>
      <c r="B21" s="10" t="n"/>
      <c r="C21" s="10" t="n"/>
      <c r="D21" s="10" t="n"/>
      <c r="E21" s="10" t="n"/>
      <c r="F21" s="10" t="n"/>
    </row>
    <row r="22">
      <c r="A22" s="11" t="inlineStr">
        <is>
          <t>First payout threshold</t>
        </is>
      </c>
      <c r="B22" s="20" t="n">
        <v>10</v>
      </c>
      <c r="C22" s="20" t="n">
        <v>10</v>
      </c>
      <c r="D22" s="20" t="n">
        <v>10</v>
      </c>
      <c r="E22" s="13" t="inlineStr">
        <is>
          <t>₹</t>
        </is>
      </c>
      <c r="F22" s="14" t="inlineStr">
        <is>
          <t>v0.3 decision — buys the first-payout trust moment</t>
        </is>
      </c>
    </row>
    <row r="23">
      <c r="A23" s="11" t="inlineStr">
        <is>
          <t>Subsequent payout threshold</t>
        </is>
      </c>
      <c r="B23" s="20" t="n">
        <v>30</v>
      </c>
      <c r="C23" s="20" t="n">
        <v>30</v>
      </c>
      <c r="D23" s="20" t="n">
        <v>30</v>
      </c>
      <c r="E23" s="13" t="inlineStr">
        <is>
          <t>₹</t>
        </is>
      </c>
      <c r="F23" s="14" t="inlineStr">
        <is>
          <t>Unchanged</t>
        </is>
      </c>
    </row>
    <row r="24">
      <c r="A24" s="11" t="inlineStr">
        <is>
          <t>Breakage at a ₹10 first payout</t>
        </is>
      </c>
      <c r="B24" s="21" t="n">
        <v>0.15</v>
      </c>
      <c r="C24" s="21" t="n">
        <v>0.25</v>
      </c>
      <c r="D24" s="21" t="n">
        <v>0.4</v>
      </c>
      <c r="E24" s="13" t="inlineStr">
        <is>
          <t>% of rewards</t>
        </is>
      </c>
      <c r="F24" s="14" t="inlineStr">
        <is>
          <t>Accrued but never withdrawn. LOWER than v0.2 — fewer churn before cashing out.</t>
        </is>
      </c>
    </row>
    <row r="25">
      <c r="A25" s="11" t="inlineStr">
        <is>
          <t>Breakage at a ₹30 first payout (v0.2)</t>
        </is>
      </c>
      <c r="B25" s="16" t="n">
        <v>0.25</v>
      </c>
      <c r="C25" s="16" t="n">
        <v>0.4</v>
      </c>
      <c r="D25" s="16" t="n">
        <v>0.55</v>
      </c>
      <c r="E25" s="13" t="inlineStr">
        <is>
          <t>% of rewards</t>
        </is>
      </c>
      <c r="F25" s="14" t="inlineStr">
        <is>
          <t>Kept only to quantify what the ₹10 decision costs</t>
        </is>
      </c>
    </row>
    <row r="26">
      <c r="A26" s="9" t="inlineStr">
        <is>
          <t>COSTS</t>
        </is>
      </c>
      <c r="B26" s="10" t="n"/>
      <c r="C26" s="10" t="n"/>
      <c r="D26" s="10" t="n"/>
      <c r="E26" s="10" t="n"/>
      <c r="F26" s="10" t="n"/>
    </row>
    <row r="27">
      <c r="A27" s="11" t="inlineStr">
        <is>
          <t>UPI payout fee</t>
        </is>
      </c>
      <c r="B27" s="18" t="n">
        <v>5</v>
      </c>
      <c r="C27" s="18" t="n">
        <v>3</v>
      </c>
      <c r="D27" s="18" t="n">
        <v>2</v>
      </c>
      <c r="E27" s="13" t="inlineStr">
        <is>
          <t>₹ per payout</t>
        </is>
      </c>
      <c r="F27" s="14" t="inlineStr">
        <is>
          <t>RazorpayX ₹2–5; UPI at the low end</t>
        </is>
      </c>
    </row>
    <row r="28">
      <c r="A28" s="11" t="inlineStr">
        <is>
          <t>Payouts per withdrawing user</t>
        </is>
      </c>
      <c r="B28" s="12" t="n">
        <v>1</v>
      </c>
      <c r="C28" s="12" t="n">
        <v>1</v>
      </c>
      <c r="D28" s="12" t="n">
        <v>1</v>
      </c>
      <c r="E28" s="13" t="inlineStr">
        <is>
          <t>per month</t>
        </is>
      </c>
      <c r="F28" s="14" t="inlineStr">
        <is>
          <t>Monthly batch payout</t>
        </is>
      </c>
    </row>
    <row r="29">
      <c r="A29" s="11" t="inlineStr">
        <is>
          <t>Infrastructure cost</t>
        </is>
      </c>
      <c r="B29" s="18" t="n">
        <v>0.8</v>
      </c>
      <c r="C29" s="18" t="n">
        <v>0.5</v>
      </c>
      <c r="D29" s="18" t="n">
        <v>0.3</v>
      </c>
      <c r="E29" s="13" t="inlineStr">
        <is>
          <t>₹/MAU/month</t>
        </is>
      </c>
      <c r="F29" s="14" t="inlineStr">
        <is>
          <t>Firebase, Firestore, Functions, Play Integrity</t>
        </is>
      </c>
    </row>
    <row r="30">
      <c r="A30" s="11" t="inlineStr">
        <is>
          <t>SMS / OTP cost</t>
        </is>
      </c>
      <c r="B30" s="18" t="n">
        <v>0.3</v>
      </c>
      <c r="C30" s="18" t="n">
        <v>0.15</v>
      </c>
      <c r="D30" s="18" t="n">
        <v>0.1</v>
      </c>
      <c r="E30" s="13" t="inlineStr">
        <is>
          <t>₹/user/month</t>
        </is>
      </c>
      <c r="F30" s="14" t="inlineStr">
        <is>
          <t>Assumption</t>
        </is>
      </c>
    </row>
    <row r="31">
      <c r="A31" s="11" t="inlineStr">
        <is>
          <t>Support cost</t>
        </is>
      </c>
      <c r="B31" s="18" t="n">
        <v>0.6</v>
      </c>
      <c r="C31" s="18" t="n">
        <v>0.3</v>
      </c>
      <c r="D31" s="18" t="n">
        <v>0.15</v>
      </c>
      <c r="E31" s="13" t="inlineStr">
        <is>
          <t>₹/user/month</t>
        </is>
      </c>
      <c r="F31" s="14" t="inlineStr">
        <is>
          <t>Withdrawal disputes dominate</t>
        </is>
      </c>
    </row>
    <row r="32">
      <c r="A32" s="11" t="inlineStr">
        <is>
          <t>Fraud leakage</t>
        </is>
      </c>
      <c r="B32" s="16" t="n">
        <v>0.1</v>
      </c>
      <c r="C32" s="16" t="n">
        <v>0.05</v>
      </c>
      <c r="D32" s="16" t="n">
        <v>0.02</v>
      </c>
      <c r="E32" s="13" t="inlineStr">
        <is>
          <t>% of rewards</t>
        </is>
      </c>
      <c r="F32" s="14" t="inlineStr">
        <is>
          <t>Rupees reaching accounts that beat the controls</t>
        </is>
      </c>
    </row>
    <row r="33">
      <c r="A33" s="9" t="inlineStr">
        <is>
          <t>TARGETS</t>
        </is>
      </c>
      <c r="B33" s="10" t="n"/>
      <c r="C33" s="10" t="n"/>
      <c r="D33" s="10" t="n"/>
      <c r="E33" s="10" t="n"/>
      <c r="F33" s="10" t="n"/>
    </row>
    <row r="34">
      <c r="A34" s="11" t="inlineStr">
        <is>
          <t>Target contribution margin</t>
        </is>
      </c>
      <c r="B34" s="16" t="n">
        <v>0.3</v>
      </c>
      <c r="C34" s="16" t="n">
        <v>0.3</v>
      </c>
      <c r="D34" s="16" t="n">
        <v>0.3</v>
      </c>
      <c r="E34" s="13" t="inlineStr">
        <is>
          <t>% of revenue</t>
        </is>
      </c>
      <c r="F34" s="14" t="inlineStr">
        <is>
          <t>Profit retained before the reward budget is set</t>
        </is>
      </c>
    </row>
    <row r="35">
      <c r="A35" s="22" t="inlineStr">
        <is>
          <t>ACQUISITION — booked outside the reward budget</t>
        </is>
      </c>
      <c r="B35" s="23" t="n"/>
      <c r="C35" s="23" t="n"/>
      <c r="D35" s="23" t="n"/>
      <c r="E35" s="23" t="n"/>
      <c r="F35" s="23" t="n"/>
    </row>
    <row r="36">
      <c r="A36" s="11" t="inlineStr">
        <is>
          <t>Share of users reaching the first payout</t>
        </is>
      </c>
      <c r="B36" s="21" t="n">
        <v>0.55</v>
      </c>
      <c r="C36" s="21" t="n">
        <v>0.7</v>
      </c>
      <c r="D36" s="21" t="n">
        <v>0.85</v>
      </c>
      <c r="E36" s="13" t="inlineStr">
        <is>
          <t>%</t>
        </is>
      </c>
      <c r="F36" s="14" t="inlineStr">
        <is>
          <t>Higher at ₹10 than it was at ₹30</t>
        </is>
      </c>
    </row>
    <row r="37">
      <c r="A37" s="11" t="inlineStr">
        <is>
          <t>Referral bonus per referred install</t>
        </is>
      </c>
      <c r="B37" s="18" t="n">
        <v>5</v>
      </c>
      <c r="C37" s="18" t="n">
        <v>5</v>
      </c>
      <c r="D37" s="18" t="n">
        <v>5</v>
      </c>
      <c r="E37" s="13" t="inlineStr">
        <is>
          <t>₹</t>
        </is>
      </c>
      <c r="F37" s="14" t="inlineStr">
        <is>
          <t>CAC line, never counted against the reward cap</t>
        </is>
      </c>
    </row>
    <row r="38">
      <c r="A38" s="11" t="inlineStr">
        <is>
          <t>Paid install cost (CPI) in India</t>
        </is>
      </c>
      <c r="B38" s="18" t="n">
        <v>30</v>
      </c>
      <c r="C38" s="18" t="n">
        <v>22</v>
      </c>
      <c r="D38" s="18" t="n">
        <v>15</v>
      </c>
      <c r="E38" s="13" t="inlineStr">
        <is>
          <t>₹ per install</t>
        </is>
      </c>
      <c r="F38" s="14" t="inlineStr">
        <is>
          <t>Benchmark for judging the first payout as acquisition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58" customWidth="1" min="5" max="5"/>
  </cols>
  <sheetData>
    <row r="1">
      <c r="A1" s="1" t="inlineStr">
        <is>
          <t>Per-user monthly economics and the sustainable earning cap</t>
        </is>
      </c>
    </row>
    <row r="2">
      <c r="A2" s="24" t="inlineStr">
        <is>
          <t>All figures per ACTIVE user per month unless stated. Nothing here is typed by hand.</t>
        </is>
      </c>
    </row>
    <row r="4">
      <c r="A4" s="8" t="inlineStr">
        <is>
          <t>Line item</t>
        </is>
      </c>
      <c r="B4" s="8" t="inlineStr">
        <is>
          <t>Conservative</t>
        </is>
      </c>
      <c r="C4" s="8" t="inlineStr">
        <is>
          <t>Base</t>
        </is>
      </c>
      <c r="D4" s="8" t="inlineStr">
        <is>
          <t>Optimistic</t>
        </is>
      </c>
      <c r="E4" s="8" t="inlineStr">
        <is>
          <t>Note</t>
        </is>
      </c>
    </row>
    <row r="5">
      <c r="A5" s="9" t="inlineStr">
        <is>
          <t>REVENUE</t>
        </is>
      </c>
      <c r="B5" s="10" t="n"/>
      <c r="C5" s="10" t="n"/>
      <c r="D5" s="10" t="n"/>
      <c r="E5" s="10" t="n"/>
    </row>
    <row r="6">
      <c r="A6" s="11" t="inlineStr">
        <is>
          <t>Rewarded video</t>
        </is>
      </c>
      <c r="B6" s="25">
        <f>Assumptions!B8*Assumptions!B5/1000*Assumptions!B9*Assumptions!B6*Assumptions!B10</f>
        <v/>
      </c>
      <c r="C6" s="25">
        <f>Assumptions!C8*Assumptions!C5/1000*Assumptions!C9*Assumptions!C6*Assumptions!C10</f>
        <v/>
      </c>
      <c r="D6" s="25">
        <f>Assumptions!D8*Assumptions!D5/1000*Assumptions!D9*Assumptions!D6*Assumptions!D10</f>
        <v/>
      </c>
      <c r="E6" s="14" t="inlineStr">
        <is>
          <t>eCPM → ₹/view × views/day × active days × fill rate</t>
        </is>
      </c>
    </row>
    <row r="7">
      <c r="A7" s="11" t="inlineStr">
        <is>
          <t>Interstitial</t>
        </is>
      </c>
      <c r="B7" s="25">
        <f>Assumptions!B11*Assumptions!B5/1000*Assumptions!B12*Assumptions!B6*Assumptions!B10</f>
        <v/>
      </c>
      <c r="C7" s="25">
        <f>Assumptions!C11*Assumptions!C5/1000*Assumptions!C12*Assumptions!C6*Assumptions!C10</f>
        <v/>
      </c>
      <c r="D7" s="25">
        <f>Assumptions!D11*Assumptions!D5/1000*Assumptions!D12*Assumptions!D6*Assumptions!D10</f>
        <v/>
      </c>
      <c r="E7" s="14" t="inlineStr"/>
    </row>
    <row r="8">
      <c r="A8" s="11" t="inlineStr">
        <is>
          <t>Banner</t>
        </is>
      </c>
      <c r="B8" s="25">
        <f>Assumptions!B13</f>
        <v/>
      </c>
      <c r="C8" s="25">
        <f>Assumptions!C13</f>
        <v/>
      </c>
      <c r="D8" s="25">
        <f>Assumptions!D13</f>
        <v/>
      </c>
      <c r="E8" s="14" t="inlineStr"/>
    </row>
    <row r="9">
      <c r="A9" s="11" t="inlineStr">
        <is>
          <t>Survey — one-time profile, amortised</t>
        </is>
      </c>
      <c r="B9" s="25">
        <f>Assumptions!B15/Assumptions!B16</f>
        <v/>
      </c>
      <c r="C9" s="25">
        <f>Assumptions!C15/Assumptions!C16</f>
        <v/>
      </c>
      <c r="D9" s="25">
        <f>Assumptions!D15/Assumptions!D16</f>
        <v/>
      </c>
      <c r="E9" s="14" t="inlineStr"/>
    </row>
    <row r="10">
      <c r="A10" s="11" t="inlineStr">
        <is>
          <t>Survey — daily drip</t>
        </is>
      </c>
      <c r="B10" s="25">
        <f>Assumptions!B17*Assumptions!B6</f>
        <v/>
      </c>
      <c r="C10" s="25">
        <f>Assumptions!C17*Assumptions!C6</f>
        <v/>
      </c>
      <c r="D10" s="25">
        <f>Assumptions!D17*Assumptions!D6</f>
        <v/>
      </c>
      <c r="E10" s="14" t="inlineStr">
        <is>
          <t>Why the survey drips instead of dumping once</t>
        </is>
      </c>
    </row>
    <row r="11">
      <c r="A11" s="11" t="inlineStr">
        <is>
          <t>Sponsored QR (dormant)</t>
        </is>
      </c>
      <c r="B11" s="25">
        <f>Assumptions!B19*Assumptions!B20*Assumptions!B6</f>
        <v/>
      </c>
      <c r="C11" s="25">
        <f>Assumptions!C19*Assumptions!C20*Assumptions!C6</f>
        <v/>
      </c>
      <c r="D11" s="25">
        <f>Assumptions!D19*Assumptions!D20*Assumptions!D6</f>
        <v/>
      </c>
      <c r="E11" s="14" t="inlineStr">
        <is>
          <t>₹0 until a brand signs</t>
        </is>
      </c>
    </row>
    <row r="12">
      <c r="A12" s="26" t="inlineStr">
        <is>
          <t>TOTAL REVENUE</t>
        </is>
      </c>
      <c r="B12" s="27">
        <f>SUM(B6:B11)</f>
        <v/>
      </c>
      <c r="C12" s="27">
        <f>SUM(C6:C11)</f>
        <v/>
      </c>
      <c r="D12" s="27">
        <f>SUM(D6:D11)</f>
        <v/>
      </c>
      <c r="E12" s="28" t="inlineStr"/>
    </row>
    <row r="14">
      <c r="A14" s="9" t="inlineStr">
        <is>
          <t>NON-REWARD COSTS</t>
        </is>
      </c>
      <c r="B14" s="10" t="n"/>
      <c r="C14" s="10" t="n"/>
      <c r="D14" s="10" t="n"/>
      <c r="E14" s="10" t="n"/>
    </row>
    <row r="15">
      <c r="A15" s="11" t="inlineStr">
        <is>
          <t>UPI payout fees</t>
        </is>
      </c>
      <c r="B15" s="25">
        <f>Assumptions!B27*Assumptions!B28*(1-Assumptions!B24)</f>
        <v/>
      </c>
      <c r="C15" s="25">
        <f>Assumptions!C27*Assumptions!C28*(1-Assumptions!C24)</f>
        <v/>
      </c>
      <c r="D15" s="25">
        <f>Assumptions!D27*Assumptions!D28*(1-Assumptions!D24)</f>
        <v/>
      </c>
      <c r="E15" s="14" t="inlineStr">
        <is>
          <t>Only non-breakage users trigger a payout</t>
        </is>
      </c>
    </row>
    <row r="16">
      <c r="A16" s="11" t="inlineStr">
        <is>
          <t>Infrastructure</t>
        </is>
      </c>
      <c r="B16" s="25">
        <f>Assumptions!B29</f>
        <v/>
      </c>
      <c r="C16" s="25">
        <f>Assumptions!C29</f>
        <v/>
      </c>
      <c r="D16" s="25">
        <f>Assumptions!D29</f>
        <v/>
      </c>
      <c r="E16" s="14" t="inlineStr"/>
    </row>
    <row r="17">
      <c r="A17" s="11" t="inlineStr">
        <is>
          <t>SMS / OTP</t>
        </is>
      </c>
      <c r="B17" s="25">
        <f>Assumptions!B30</f>
        <v/>
      </c>
      <c r="C17" s="25">
        <f>Assumptions!C30</f>
        <v/>
      </c>
      <c r="D17" s="25">
        <f>Assumptions!D30</f>
        <v/>
      </c>
      <c r="E17" s="14" t="inlineStr"/>
    </row>
    <row r="18">
      <c r="A18" s="11" t="inlineStr">
        <is>
          <t>Support</t>
        </is>
      </c>
      <c r="B18" s="25">
        <f>Assumptions!B31</f>
        <v/>
      </c>
      <c r="C18" s="25">
        <f>Assumptions!C31</f>
        <v/>
      </c>
      <c r="D18" s="25">
        <f>Assumptions!D31</f>
        <v/>
      </c>
      <c r="E18" s="14" t="inlineStr"/>
    </row>
    <row r="19">
      <c r="A19" s="26" t="inlineStr">
        <is>
          <t>TOTAL NON-REWARD COST</t>
        </is>
      </c>
      <c r="B19" s="27">
        <f>SUM(B15:B18)</f>
        <v/>
      </c>
      <c r="C19" s="27">
        <f>SUM(C15:C18)</f>
        <v/>
      </c>
      <c r="D19" s="27">
        <f>SUM(D15:D18)</f>
        <v/>
      </c>
      <c r="E19" s="28" t="inlineStr"/>
    </row>
    <row r="21">
      <c r="A21" s="9" t="inlineStr">
        <is>
          <t>REWARD BUDGET</t>
        </is>
      </c>
      <c r="B21" s="10" t="n"/>
      <c r="C21" s="10" t="n"/>
      <c r="D21" s="10" t="n"/>
      <c r="E21" s="10" t="n"/>
    </row>
    <row r="22">
      <c r="A22" s="11" t="inlineStr">
        <is>
          <t>Target profit retained</t>
        </is>
      </c>
      <c r="B22" s="25">
        <f>B12*Assumptions!B34</f>
        <v/>
      </c>
      <c r="C22" s="25">
        <f>C12*Assumptions!C34</f>
        <v/>
      </c>
      <c r="D22" s="25">
        <f>D12*Assumptions!D34</f>
        <v/>
      </c>
      <c r="E22" s="14" t="inlineStr"/>
    </row>
    <row r="23">
      <c r="A23" s="29" t="inlineStr">
        <is>
          <t>Budget available for rewards</t>
        </is>
      </c>
      <c r="B23" s="30">
        <f>B12-B19-B22</f>
        <v/>
      </c>
      <c r="C23" s="30">
        <f>C12-C19-C22</f>
        <v/>
      </c>
      <c r="D23" s="30">
        <f>D12-D19-D22</f>
        <v/>
      </c>
      <c r="E23" s="14" t="inlineStr">
        <is>
          <t>Revenue less non-reward cost less target profit</t>
        </is>
      </c>
    </row>
    <row r="24">
      <c r="A24" s="11" t="inlineStr">
        <is>
          <t>Breakage factor (share actually paid)</t>
        </is>
      </c>
      <c r="B24" s="31">
        <f>1-Assumptions!B24</f>
        <v/>
      </c>
      <c r="C24" s="31">
        <f>1-Assumptions!C24</f>
        <v/>
      </c>
      <c r="D24" s="31">
        <f>1-Assumptions!D24</f>
        <v/>
      </c>
      <c r="E24" s="14" t="inlineStr"/>
    </row>
    <row r="25">
      <c r="A25" s="11" t="inlineStr">
        <is>
          <t>Fraud inflation factor</t>
        </is>
      </c>
      <c r="B25" s="32">
        <f>1+Assumptions!B32</f>
        <v/>
      </c>
      <c r="C25" s="32">
        <f>1+Assumptions!C32</f>
        <v/>
      </c>
      <c r="D25" s="32">
        <f>1+Assumptions!D32</f>
        <v/>
      </c>
      <c r="E25" s="14" t="inlineStr"/>
    </row>
    <row r="26">
      <c r="A26" s="26" t="inlineStr">
        <is>
          <t>SUSTAINABLE EARNING CAP</t>
        </is>
      </c>
      <c r="B26" s="27">
        <f>B23/(B24*B25)</f>
        <v/>
      </c>
      <c r="C26" s="27">
        <f>C23/(C24*C25)</f>
        <v/>
      </c>
      <c r="D26" s="27">
        <f>D23/(D24*D25)</f>
        <v/>
      </c>
      <c r="E26" s="28" t="inlineStr">
        <is>
          <t>Maximum a single user may accrue per month</t>
        </is>
      </c>
    </row>
    <row r="28">
      <c r="A28" s="9" t="inlineStr">
        <is>
          <t>WHAT THE ₹10 FIRST PAYOUT COSTS</t>
        </is>
      </c>
      <c r="B28" s="10" t="n"/>
      <c r="C28" s="10" t="n"/>
      <c r="D28" s="10" t="n"/>
      <c r="E28" s="10" t="n"/>
    </row>
    <row r="29">
      <c r="A29" s="11" t="inlineStr">
        <is>
          <t>Cap under v0.2 (₹30 first payout)</t>
        </is>
      </c>
      <c r="B29" s="25">
        <f>(B12-(Assumptions!B27*Assumptions!B28*(1-Assumptions!B25)+Assumptions!B29+Assumptions!B30+Assumptions!B31)-B22)/((1-Assumptions!B25)*B25)</f>
        <v/>
      </c>
      <c r="C29" s="25">
        <f>(C12-(Assumptions!C27*Assumptions!C28*(1-Assumptions!C25)+Assumptions!C29+Assumptions!C30+Assumptions!C31)-C22)/((1-Assumptions!C25)*C25)</f>
        <v/>
      </c>
      <c r="D29" s="25">
        <f>(D12-(Assumptions!D27*Assumptions!D28*(1-Assumptions!D25)+Assumptions!D29+Assumptions!D30+Assumptions!D31)-D22)/((1-Assumptions!D25)*D25)</f>
        <v/>
      </c>
      <c r="E29" s="14" t="inlineStr">
        <is>
          <t>Same revenue, the higher v0.2 breakage assumption</t>
        </is>
      </c>
    </row>
    <row r="30">
      <c r="A30" s="29" t="inlineStr">
        <is>
          <t>Cap reduction from the ₹10 decision</t>
        </is>
      </c>
      <c r="B30" s="30">
        <f>B26-B29</f>
        <v/>
      </c>
      <c r="C30" s="30">
        <f>C26-C29</f>
        <v/>
      </c>
      <c r="D30" s="30">
        <f>D26-D29</f>
        <v/>
      </c>
      <c r="E30" s="14" t="inlineStr">
        <is>
          <t>Negative means the ₹10 first payout costs cap headroom</t>
        </is>
      </c>
    </row>
    <row r="31">
      <c r="A31" s="29" t="inlineStr">
        <is>
          <t>Reduction as % of the v0.2 cap</t>
        </is>
      </c>
      <c r="B31" s="33">
        <f>IF(B29=0,0,B30/B29)</f>
        <v/>
      </c>
      <c r="C31" s="33">
        <f>IF(C29=0,0,C30/C29)</f>
        <v/>
      </c>
      <c r="D31" s="33">
        <f>IF(D29=0,0,D30/D29)</f>
        <v/>
      </c>
      <c r="E31" s="14" t="inlineStr"/>
    </row>
    <row r="33">
      <c r="A33" s="22" t="inlineStr">
        <is>
          <t>ACQUISITION — separate book, NOT charged to the reward budget</t>
        </is>
      </c>
      <c r="B33" s="23" t="n"/>
      <c r="C33" s="23" t="n"/>
      <c r="D33" s="23" t="n"/>
      <c r="E33" s="23" t="n"/>
    </row>
    <row r="34">
      <c r="A34" s="34" t="inlineStr">
        <is>
          <t>First payout, cash</t>
        </is>
      </c>
      <c r="B34" s="35">
        <f>Assumptions!B22</f>
        <v/>
      </c>
      <c r="C34" s="35">
        <f>Assumptions!C22</f>
        <v/>
      </c>
      <c r="D34" s="35">
        <f>Assumptions!D22</f>
        <v/>
      </c>
      <c r="E34" s="36" t="inlineStr"/>
    </row>
    <row r="35">
      <c r="A35" s="34" t="inlineStr">
        <is>
          <t>First payout, transaction fee</t>
        </is>
      </c>
      <c r="B35" s="35">
        <f>Assumptions!B27</f>
        <v/>
      </c>
      <c r="C35" s="35">
        <f>Assumptions!C27</f>
        <v/>
      </c>
      <c r="D35" s="35">
        <f>Assumptions!D27</f>
        <v/>
      </c>
      <c r="E35" s="36" t="inlineStr"/>
    </row>
    <row r="36">
      <c r="A36" s="22" t="inlineStr">
        <is>
          <t>Total first-payout cost per converting user</t>
        </is>
      </c>
      <c r="B36" s="37">
        <f>B34+B35</f>
        <v/>
      </c>
      <c r="C36" s="37">
        <f>C34+C35</f>
        <v/>
      </c>
      <c r="D36" s="37">
        <f>D34+D35</f>
        <v/>
      </c>
      <c r="E36" s="36" t="inlineStr"/>
    </row>
    <row r="37">
      <c r="A37" s="34" t="inlineStr">
        <is>
          <t>Blended across all installs</t>
        </is>
      </c>
      <c r="B37" s="35">
        <f>B36*Assumptions!B36</f>
        <v/>
      </c>
      <c r="C37" s="35">
        <f>C36*Assumptions!C36</f>
        <v/>
      </c>
      <c r="D37" s="35">
        <f>D36*Assumptions!D36</f>
        <v/>
      </c>
      <c r="E37" s="36" t="inlineStr">
        <is>
          <t>Only users who reach the threshold cost you this</t>
        </is>
      </c>
    </row>
    <row r="38">
      <c r="A38" s="34" t="inlineStr">
        <is>
          <t>Paid install cost (CPI) benchmark</t>
        </is>
      </c>
      <c r="B38" s="35">
        <f>Assumptions!B38</f>
        <v/>
      </c>
      <c r="C38" s="35">
        <f>Assumptions!C38</f>
        <v/>
      </c>
      <c r="D38" s="35">
        <f>Assumptions!D38</f>
        <v/>
      </c>
      <c r="E38" s="36" t="inlineStr"/>
    </row>
    <row r="39">
      <c r="A39" s="22" t="inlineStr">
        <is>
          <t>First payout as % of a paid install</t>
        </is>
      </c>
      <c r="B39" s="38">
        <f>IF(B38=0,0,B37/B38)</f>
        <v/>
      </c>
      <c r="C39" s="38">
        <f>IF(C38=0,0,C37/C38)</f>
        <v/>
      </c>
      <c r="D39" s="38">
        <f>IF(D38=0,0,D37/D38)</f>
        <v/>
      </c>
      <c r="E39" s="36" t="inlineStr">
        <is>
          <t>Under 100% means it buys a paid, retained user cheaper than an ad buys a raw install</t>
        </is>
      </c>
    </row>
    <row r="40">
      <c r="A40" s="34" t="inlineStr">
        <is>
          <t>Amortised over expected lifetime</t>
        </is>
      </c>
      <c r="B40" s="35">
        <f>B37/Assumptions!B16</f>
        <v/>
      </c>
      <c r="C40" s="35">
        <f>C37/Assumptions!C16</f>
        <v/>
      </c>
      <c r="D40" s="35">
        <f>D37/Assumptions!D16</f>
        <v/>
      </c>
      <c r="E40" s="36" t="inlineStr">
        <is>
          <t>Monthly equivalent, for comparison against revenue only</t>
        </is>
      </c>
    </row>
    <row r="42">
      <c r="A42" s="9" t="inlineStr">
        <is>
          <t>REALITY CHECK vs THE ORIGINAL ₹95 DESIGN</t>
        </is>
      </c>
      <c r="B42" s="10" t="n"/>
      <c r="C42" s="10" t="n"/>
      <c r="D42" s="10" t="n"/>
      <c r="E42" s="10" t="n"/>
    </row>
    <row r="43">
      <c r="A43" s="11" t="inlineStr">
        <is>
          <t>Original design cap (₹60 math + ₹30 streak + ₹5 signup)</t>
        </is>
      </c>
      <c r="B43" s="20" t="n">
        <v>95</v>
      </c>
      <c r="C43" s="20" t="n">
        <v>95</v>
      </c>
      <c r="D43" s="20" t="n">
        <v>95</v>
      </c>
      <c r="E43" s="24" t="inlineStr">
        <is>
          <t>The concept as first specified</t>
        </is>
      </c>
    </row>
    <row r="44">
      <c r="A44" s="29" t="inlineStr">
        <is>
          <t>Sustainable cap as % of original</t>
        </is>
      </c>
      <c r="B44" s="33">
        <f>B26/B43</f>
        <v/>
      </c>
      <c r="C44" s="33">
        <f>C26/C43</f>
        <v/>
      </c>
      <c r="D44" s="33">
        <f>D26/D43</f>
        <v/>
      </c>
      <c r="E44" s="14" t="inlineStr"/>
    </row>
    <row r="45">
      <c r="A45" s="29" t="inlineStr">
        <is>
          <t>Monthly loss per user at the original cap</t>
        </is>
      </c>
      <c r="B45" s="30">
        <f>B12-B19-(B43*B24*B25)</f>
        <v/>
      </c>
      <c r="C45" s="30">
        <f>C12-C19-(C43*C24*C25)</f>
        <v/>
      </c>
      <c r="D45" s="30">
        <f>D12-D19-(D43*D24*D25)</f>
        <v/>
      </c>
      <c r="E45" s="14" t="inlineStr">
        <is>
          <t>Contribution per user if ₹95 shipped unchanged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  <col width="46" customWidth="1" min="5" max="5"/>
  </cols>
  <sheetData>
    <row r="1">
      <c r="A1" s="1" t="inlineStr">
        <is>
          <t>Monthly P&amp;L at scale — Base case</t>
        </is>
      </c>
    </row>
    <row r="2">
      <c r="A2" s="24" t="inlineStr">
        <is>
          <t>Set the cap you intend to ship in the yellow cell. Acquisition is shown separately.</t>
        </is>
      </c>
    </row>
    <row r="4">
      <c r="A4" s="2" t="inlineStr">
        <is>
          <t>Earning cap to test</t>
        </is>
      </c>
      <c r="B4" s="39" t="n">
        <v>15</v>
      </c>
      <c r="C4" s="24" t="inlineStr">
        <is>
          <t>₹ per user per month</t>
        </is>
      </c>
    </row>
    <row r="5">
      <c r="A5" t="inlineStr">
        <is>
          <t>Sustainable cap (Base, from Model)</t>
        </is>
      </c>
      <c r="B5" s="40">
        <f>Model!C26</f>
        <v/>
      </c>
      <c r="C5" s="24" t="inlineStr">
        <is>
          <t>Ship at or below this</t>
        </is>
      </c>
    </row>
    <row r="6">
      <c r="A6" t="inlineStr">
        <is>
          <t>New-user share (drives acquisition cost)</t>
        </is>
      </c>
      <c r="B6" s="41" t="n">
        <v>0.25</v>
      </c>
      <c r="C6" s="24" t="inlineStr">
        <is>
          <t>Share of MAU in their first cycle</t>
        </is>
      </c>
    </row>
    <row r="8">
      <c r="A8" s="42" t="inlineStr">
        <is>
          <t>Line item</t>
        </is>
      </c>
      <c r="B8" s="42" t="inlineStr">
        <is>
          <t>10k MAU</t>
        </is>
      </c>
      <c r="C8" s="42" t="inlineStr">
        <is>
          <t>100k MAU</t>
        </is>
      </c>
      <c r="D8" s="42" t="inlineStr">
        <is>
          <t>1M MAU</t>
        </is>
      </c>
    </row>
    <row r="9">
      <c r="A9" s="43" t="inlineStr">
        <is>
          <t>Monthly active users</t>
        </is>
      </c>
      <c r="B9" s="44" t="n">
        <v>10000</v>
      </c>
      <c r="C9" s="44" t="n">
        <v>100000</v>
      </c>
      <c r="D9" s="44" t="n">
        <v>1000000</v>
      </c>
    </row>
    <row r="10">
      <c r="A10" s="11" t="inlineStr">
        <is>
          <t>Revenue</t>
        </is>
      </c>
      <c r="B10" s="45">
        <f>B9*Model!$C$12</f>
        <v/>
      </c>
      <c r="C10" s="45">
        <f>C9*Model!$C$12</f>
        <v/>
      </c>
      <c r="D10" s="45">
        <f>D9*Model!$C$12</f>
        <v/>
      </c>
      <c r="E10" s="24" t="inlineStr"/>
    </row>
    <row r="11">
      <c r="A11" s="11" t="inlineStr">
        <is>
          <t>Non-reward costs</t>
        </is>
      </c>
      <c r="B11" s="45">
        <f>-B9*Model!$C$19</f>
        <v/>
      </c>
      <c r="C11" s="45">
        <f>-C9*Model!$C$19</f>
        <v/>
      </c>
      <c r="D11" s="45">
        <f>-D9*Model!$C$19</f>
        <v/>
      </c>
      <c r="E11" s="24" t="inlineStr"/>
    </row>
    <row r="12">
      <c r="A12" s="11" t="inlineStr">
        <is>
          <t>Reward payout at the tested cap</t>
        </is>
      </c>
      <c r="B12" s="45">
        <f>-B9*$B$4*Model!$C$24*Model!$C$25</f>
        <v/>
      </c>
      <c r="C12" s="45">
        <f>-C9*$B$4*Model!$C$24*Model!$C$25</f>
        <v/>
      </c>
      <c r="D12" s="45">
        <f>-D9*$B$4*Model!$C$24*Model!$C$25</f>
        <v/>
      </c>
      <c r="E12" s="24" t="inlineStr"/>
    </row>
    <row r="13">
      <c r="A13" s="26" t="inlineStr">
        <is>
          <t>CONTRIBUTION before acquisition</t>
        </is>
      </c>
      <c r="B13" s="46">
        <f>SUM(B10:B12)</f>
        <v/>
      </c>
      <c r="C13" s="46">
        <f>SUM(C10:C12)</f>
        <v/>
      </c>
      <c r="D13" s="46">
        <f>SUM(D10:D12)</f>
        <v/>
      </c>
      <c r="E13" s="24" t="inlineStr"/>
    </row>
    <row r="14">
      <c r="A14" s="34" t="inlineStr">
        <is>
          <t>Acquisition — first payouts</t>
        </is>
      </c>
      <c r="B14" s="47">
        <f>-B9*$B$6*Model!$C$37</f>
        <v/>
      </c>
      <c r="C14" s="47">
        <f>-C9*$B$6*Model!$C$37</f>
        <v/>
      </c>
      <c r="D14" s="47">
        <f>-D9*$B$6*Model!$C$37</f>
        <v/>
      </c>
      <c r="E14" s="24" t="inlineStr">
        <is>
          <t>One-off per new user, not a recurring reward</t>
        </is>
      </c>
    </row>
    <row r="15">
      <c r="A15" s="26" t="inlineStr">
        <is>
          <t>CONTRIBUTION after acquisition</t>
        </is>
      </c>
      <c r="B15" s="46">
        <f>B13+B14</f>
        <v/>
      </c>
      <c r="C15" s="46">
        <f>C13+C14</f>
        <v/>
      </c>
      <c r="D15" s="46">
        <f>D13+D14</f>
        <v/>
      </c>
      <c r="E15" s="24" t="inlineStr"/>
    </row>
    <row r="16">
      <c r="A16" s="26" t="inlineStr">
        <is>
          <t>Margin after acquisition</t>
        </is>
      </c>
      <c r="B16" s="48">
        <f>IF(B10=0,0,B15/B10)</f>
        <v/>
      </c>
      <c r="C16" s="48">
        <f>IF(C10=0,0,C15/C10)</f>
        <v/>
      </c>
      <c r="D16" s="48">
        <f>IF(D10=0,0,D15/D10)</f>
        <v/>
      </c>
      <c r="E16" s="24" t="inlineStr"/>
    </row>
    <row r="18">
      <c r="A18" s="29" t="inlineStr">
        <is>
          <t>Contribution at the ORIGINAL ₹95 cap</t>
        </is>
      </c>
      <c r="B18" s="49">
        <f>B9*Model!$C$12-B9*Model!$C$19-B9*Model!$C$43*Model!$C$24*Model!$C$25</f>
        <v/>
      </c>
      <c r="C18" s="49">
        <f>C9*Model!$C$12-C9*Model!$C$19-C9*Model!$C$43*Model!$C$24*Model!$C$25</f>
        <v/>
      </c>
      <c r="D18" s="49">
        <f>D9*Model!$C$12-D9*Model!$C$19-D9*Model!$C$43*Model!$C$24*Model!$C$25</f>
        <v/>
      </c>
      <c r="E18" s="24" t="inlineStr">
        <is>
          <t>What shipping the original design would cost monthly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Contribution per user per month (before acquisition)</t>
        </is>
      </c>
    </row>
    <row r="2">
      <c r="A2" s="24" t="inlineStr">
        <is>
          <t>Rows = earning cap shipped. Columns = total revenue per active user. Base-case costs, breakage and fraud.</t>
        </is>
      </c>
    </row>
    <row r="3">
      <c r="A3" s="24" t="inlineStr">
        <is>
          <t>Bracketed values are losses on every active user at that combination.</t>
        </is>
      </c>
    </row>
    <row r="5">
      <c r="A5" s="8" t="inlineStr">
        <is>
          <t>Cap \ Revenue</t>
        </is>
      </c>
      <c r="B5" s="50" t="n">
        <v>10</v>
      </c>
      <c r="C5" s="50" t="n">
        <v>15</v>
      </c>
      <c r="D5" s="50" t="n">
        <v>20</v>
      </c>
      <c r="E5" s="50" t="n">
        <v>25</v>
      </c>
      <c r="F5" s="50" t="n">
        <v>30</v>
      </c>
      <c r="G5" s="50" t="n">
        <v>35</v>
      </c>
      <c r="H5" s="50" t="n">
        <v>40</v>
      </c>
      <c r="I5" s="50" t="n">
        <v>50</v>
      </c>
    </row>
    <row r="6">
      <c r="A6" s="20" t="n">
        <v>5</v>
      </c>
      <c r="B6" s="51">
        <f>B$5-Model!$C$19-$A6*Model!$C$24*Model!$C$25</f>
        <v/>
      </c>
      <c r="C6" s="51">
        <f>C$5-Model!$C$19-$A6*Model!$C$24*Model!$C$25</f>
        <v/>
      </c>
      <c r="D6" s="51">
        <f>D$5-Model!$C$19-$A6*Model!$C$24*Model!$C$25</f>
        <v/>
      </c>
      <c r="E6" s="51">
        <f>E$5-Model!$C$19-$A6*Model!$C$24*Model!$C$25</f>
        <v/>
      </c>
      <c r="F6" s="51">
        <f>F$5-Model!$C$19-$A6*Model!$C$24*Model!$C$25</f>
        <v/>
      </c>
      <c r="G6" s="51">
        <f>G$5-Model!$C$19-$A6*Model!$C$24*Model!$C$25</f>
        <v/>
      </c>
      <c r="H6" s="51">
        <f>H$5-Model!$C$19-$A6*Model!$C$24*Model!$C$25</f>
        <v/>
      </c>
      <c r="I6" s="51">
        <f>I$5-Model!$C$19-$A6*Model!$C$24*Model!$C$25</f>
        <v/>
      </c>
    </row>
    <row r="7">
      <c r="A7" s="20" t="n">
        <v>10</v>
      </c>
      <c r="B7" s="51">
        <f>B$5-Model!$C$19-$A7*Model!$C$24*Model!$C$25</f>
        <v/>
      </c>
      <c r="C7" s="51">
        <f>C$5-Model!$C$19-$A7*Model!$C$24*Model!$C$25</f>
        <v/>
      </c>
      <c r="D7" s="51">
        <f>D$5-Model!$C$19-$A7*Model!$C$24*Model!$C$25</f>
        <v/>
      </c>
      <c r="E7" s="51">
        <f>E$5-Model!$C$19-$A7*Model!$C$24*Model!$C$25</f>
        <v/>
      </c>
      <c r="F7" s="51">
        <f>F$5-Model!$C$19-$A7*Model!$C$24*Model!$C$25</f>
        <v/>
      </c>
      <c r="G7" s="51">
        <f>G$5-Model!$C$19-$A7*Model!$C$24*Model!$C$25</f>
        <v/>
      </c>
      <c r="H7" s="51">
        <f>H$5-Model!$C$19-$A7*Model!$C$24*Model!$C$25</f>
        <v/>
      </c>
      <c r="I7" s="51">
        <f>I$5-Model!$C$19-$A7*Model!$C$24*Model!$C$25</f>
        <v/>
      </c>
    </row>
    <row r="8">
      <c r="A8" s="20" t="n">
        <v>15</v>
      </c>
      <c r="B8" s="51">
        <f>B$5-Model!$C$19-$A8*Model!$C$24*Model!$C$25</f>
        <v/>
      </c>
      <c r="C8" s="51">
        <f>C$5-Model!$C$19-$A8*Model!$C$24*Model!$C$25</f>
        <v/>
      </c>
      <c r="D8" s="51">
        <f>D$5-Model!$C$19-$A8*Model!$C$24*Model!$C$25</f>
        <v/>
      </c>
      <c r="E8" s="51">
        <f>E$5-Model!$C$19-$A8*Model!$C$24*Model!$C$25</f>
        <v/>
      </c>
      <c r="F8" s="51">
        <f>F$5-Model!$C$19-$A8*Model!$C$24*Model!$C$25</f>
        <v/>
      </c>
      <c r="G8" s="51">
        <f>G$5-Model!$C$19-$A8*Model!$C$24*Model!$C$25</f>
        <v/>
      </c>
      <c r="H8" s="51">
        <f>H$5-Model!$C$19-$A8*Model!$C$24*Model!$C$25</f>
        <v/>
      </c>
      <c r="I8" s="51">
        <f>I$5-Model!$C$19-$A8*Model!$C$24*Model!$C$25</f>
        <v/>
      </c>
    </row>
    <row r="9">
      <c r="A9" s="20" t="n">
        <v>20</v>
      </c>
      <c r="B9" s="51">
        <f>B$5-Model!$C$19-$A9*Model!$C$24*Model!$C$25</f>
        <v/>
      </c>
      <c r="C9" s="51">
        <f>C$5-Model!$C$19-$A9*Model!$C$24*Model!$C$25</f>
        <v/>
      </c>
      <c r="D9" s="51">
        <f>D$5-Model!$C$19-$A9*Model!$C$24*Model!$C$25</f>
        <v/>
      </c>
      <c r="E9" s="51">
        <f>E$5-Model!$C$19-$A9*Model!$C$24*Model!$C$25</f>
        <v/>
      </c>
      <c r="F9" s="51">
        <f>F$5-Model!$C$19-$A9*Model!$C$24*Model!$C$25</f>
        <v/>
      </c>
      <c r="G9" s="51">
        <f>G$5-Model!$C$19-$A9*Model!$C$24*Model!$C$25</f>
        <v/>
      </c>
      <c r="H9" s="51">
        <f>H$5-Model!$C$19-$A9*Model!$C$24*Model!$C$25</f>
        <v/>
      </c>
      <c r="I9" s="51">
        <f>I$5-Model!$C$19-$A9*Model!$C$24*Model!$C$25</f>
        <v/>
      </c>
    </row>
    <row r="10">
      <c r="A10" s="20" t="n">
        <v>25</v>
      </c>
      <c r="B10" s="51">
        <f>B$5-Model!$C$19-$A10*Model!$C$24*Model!$C$25</f>
        <v/>
      </c>
      <c r="C10" s="51">
        <f>C$5-Model!$C$19-$A10*Model!$C$24*Model!$C$25</f>
        <v/>
      </c>
      <c r="D10" s="51">
        <f>D$5-Model!$C$19-$A10*Model!$C$24*Model!$C$25</f>
        <v/>
      </c>
      <c r="E10" s="51">
        <f>E$5-Model!$C$19-$A10*Model!$C$24*Model!$C$25</f>
        <v/>
      </c>
      <c r="F10" s="51">
        <f>F$5-Model!$C$19-$A10*Model!$C$24*Model!$C$25</f>
        <v/>
      </c>
      <c r="G10" s="51">
        <f>G$5-Model!$C$19-$A10*Model!$C$24*Model!$C$25</f>
        <v/>
      </c>
      <c r="H10" s="51">
        <f>H$5-Model!$C$19-$A10*Model!$C$24*Model!$C$25</f>
        <v/>
      </c>
      <c r="I10" s="51">
        <f>I$5-Model!$C$19-$A10*Model!$C$24*Model!$C$25</f>
        <v/>
      </c>
    </row>
    <row r="11">
      <c r="A11" s="20" t="n">
        <v>30</v>
      </c>
      <c r="B11" s="51">
        <f>B$5-Model!$C$19-$A11*Model!$C$24*Model!$C$25</f>
        <v/>
      </c>
      <c r="C11" s="51">
        <f>C$5-Model!$C$19-$A11*Model!$C$24*Model!$C$25</f>
        <v/>
      </c>
      <c r="D11" s="51">
        <f>D$5-Model!$C$19-$A11*Model!$C$24*Model!$C$25</f>
        <v/>
      </c>
      <c r="E11" s="51">
        <f>E$5-Model!$C$19-$A11*Model!$C$24*Model!$C$25</f>
        <v/>
      </c>
      <c r="F11" s="51">
        <f>F$5-Model!$C$19-$A11*Model!$C$24*Model!$C$25</f>
        <v/>
      </c>
      <c r="G11" s="51">
        <f>G$5-Model!$C$19-$A11*Model!$C$24*Model!$C$25</f>
        <v/>
      </c>
      <c r="H11" s="51">
        <f>H$5-Model!$C$19-$A11*Model!$C$24*Model!$C$25</f>
        <v/>
      </c>
      <c r="I11" s="51">
        <f>I$5-Model!$C$19-$A11*Model!$C$24*Model!$C$25</f>
        <v/>
      </c>
    </row>
    <row r="12">
      <c r="A12" s="20" t="n">
        <v>40</v>
      </c>
      <c r="B12" s="51">
        <f>B$5-Model!$C$19-$A12*Model!$C$24*Model!$C$25</f>
        <v/>
      </c>
      <c r="C12" s="51">
        <f>C$5-Model!$C$19-$A12*Model!$C$24*Model!$C$25</f>
        <v/>
      </c>
      <c r="D12" s="51">
        <f>D$5-Model!$C$19-$A12*Model!$C$24*Model!$C$25</f>
        <v/>
      </c>
      <c r="E12" s="51">
        <f>E$5-Model!$C$19-$A12*Model!$C$24*Model!$C$25</f>
        <v/>
      </c>
      <c r="F12" s="51">
        <f>F$5-Model!$C$19-$A12*Model!$C$24*Model!$C$25</f>
        <v/>
      </c>
      <c r="G12" s="51">
        <f>G$5-Model!$C$19-$A12*Model!$C$24*Model!$C$25</f>
        <v/>
      </c>
      <c r="H12" s="51">
        <f>H$5-Model!$C$19-$A12*Model!$C$24*Model!$C$25</f>
        <v/>
      </c>
      <c r="I12" s="51">
        <f>I$5-Model!$C$19-$A12*Model!$C$24*Model!$C$25</f>
        <v/>
      </c>
    </row>
    <row r="13">
      <c r="A13" s="20" t="n">
        <v>60</v>
      </c>
      <c r="B13" s="51">
        <f>B$5-Model!$C$19-$A13*Model!$C$24*Model!$C$25</f>
        <v/>
      </c>
      <c r="C13" s="51">
        <f>C$5-Model!$C$19-$A13*Model!$C$24*Model!$C$25</f>
        <v/>
      </c>
      <c r="D13" s="51">
        <f>D$5-Model!$C$19-$A13*Model!$C$24*Model!$C$25</f>
        <v/>
      </c>
      <c r="E13" s="51">
        <f>E$5-Model!$C$19-$A13*Model!$C$24*Model!$C$25</f>
        <v/>
      </c>
      <c r="F13" s="51">
        <f>F$5-Model!$C$19-$A13*Model!$C$24*Model!$C$25</f>
        <v/>
      </c>
      <c r="G13" s="51">
        <f>G$5-Model!$C$19-$A13*Model!$C$24*Model!$C$25</f>
        <v/>
      </c>
      <c r="H13" s="51">
        <f>H$5-Model!$C$19-$A13*Model!$C$24*Model!$C$25</f>
        <v/>
      </c>
      <c r="I13" s="51">
        <f>I$5-Model!$C$19-$A13*Model!$C$24*Model!$C$25</f>
        <v/>
      </c>
    </row>
    <row r="14">
      <c r="A14" s="52" t="n">
        <v>95</v>
      </c>
      <c r="B14" s="51">
        <f>B$5-Model!$C$19-$A14*Model!$C$24*Model!$C$25</f>
        <v/>
      </c>
      <c r="C14" s="51">
        <f>C$5-Model!$C$19-$A14*Model!$C$24*Model!$C$25</f>
        <v/>
      </c>
      <c r="D14" s="51">
        <f>D$5-Model!$C$19-$A14*Model!$C$24*Model!$C$25</f>
        <v/>
      </c>
      <c r="E14" s="51">
        <f>E$5-Model!$C$19-$A14*Model!$C$24*Model!$C$25</f>
        <v/>
      </c>
      <c r="F14" s="51">
        <f>F$5-Model!$C$19-$A14*Model!$C$24*Model!$C$25</f>
        <v/>
      </c>
      <c r="G14" s="51">
        <f>G$5-Model!$C$19-$A14*Model!$C$24*Model!$C$25</f>
        <v/>
      </c>
      <c r="H14" s="51">
        <f>H$5-Model!$C$19-$A14*Model!$C$24*Model!$C$25</f>
        <v/>
      </c>
      <c r="I14" s="51">
        <f>I$5-Model!$C$19-$A14*Model!$C$24*Model!$C$25</f>
        <v/>
      </c>
    </row>
    <row r="16">
      <c r="A16" s="24" t="inlineStr">
        <is>
          <t>₹95 is the original design. Every negative cell on that row is a loss per user per month.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2026-07-26T19:11:50Z</dcterms:created>
  <dcterms:modified xsi:type="dcterms:W3CDTF">2026-07-26T19:11:50Z</dcterms:modified>
</cp:coreProperties>
</file>